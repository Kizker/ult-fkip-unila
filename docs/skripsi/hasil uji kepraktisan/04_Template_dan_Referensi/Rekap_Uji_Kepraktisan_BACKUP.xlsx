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dri\Documents\001. SKRIPSI !!!\0001. SEMHAS\hasil uji kepraktisan\"/>
    </mc:Choice>
  </mc:AlternateContent>
  <xr:revisionPtr revIDLastSave="0" documentId="13_ncr:1_{B183D14C-D190-49D5-8E24-3555B9641150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Rekap Uji Kepraktis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6" i="1" l="1"/>
  <c r="O26" i="1"/>
  <c r="N26" i="1"/>
  <c r="M26" i="1"/>
  <c r="L26" i="1"/>
  <c r="K26" i="1"/>
  <c r="J26" i="1"/>
  <c r="I26" i="1"/>
  <c r="H26" i="1"/>
  <c r="G26" i="1"/>
  <c r="F26" i="1"/>
  <c r="E26" i="1"/>
  <c r="D26" i="1"/>
  <c r="R25" i="1"/>
  <c r="P25" i="1"/>
  <c r="Q25" i="1" s="1"/>
  <c r="R24" i="1"/>
  <c r="Q24" i="1"/>
  <c r="P24" i="1"/>
  <c r="R23" i="1"/>
  <c r="P23" i="1"/>
  <c r="Q23" i="1" s="1"/>
  <c r="R22" i="1"/>
  <c r="P22" i="1"/>
  <c r="Q22" i="1" s="1"/>
  <c r="R21" i="1"/>
  <c r="Q21" i="1"/>
  <c r="P21" i="1"/>
  <c r="R20" i="1"/>
  <c r="Q20" i="1"/>
  <c r="P20" i="1"/>
  <c r="R19" i="1"/>
  <c r="P19" i="1"/>
  <c r="Q19" i="1" s="1"/>
  <c r="R18" i="1"/>
  <c r="P18" i="1"/>
  <c r="Q18" i="1" s="1"/>
  <c r="R17" i="1"/>
  <c r="Q17" i="1"/>
  <c r="P17" i="1"/>
  <c r="R16" i="1"/>
  <c r="Q16" i="1"/>
  <c r="P16" i="1"/>
  <c r="R15" i="1"/>
  <c r="P15" i="1"/>
  <c r="Q15" i="1" s="1"/>
  <c r="R14" i="1"/>
  <c r="P14" i="1"/>
  <c r="Q14" i="1" s="1"/>
  <c r="R13" i="1"/>
  <c r="Q13" i="1"/>
  <c r="P13" i="1"/>
  <c r="R12" i="1"/>
  <c r="Q12" i="1"/>
  <c r="P12" i="1"/>
  <c r="R11" i="1"/>
  <c r="P11" i="1"/>
  <c r="Q11" i="1" s="1"/>
  <c r="R10" i="1"/>
  <c r="P10" i="1"/>
  <c r="Q10" i="1" s="1"/>
  <c r="R9" i="1"/>
  <c r="Q9" i="1"/>
  <c r="P9" i="1"/>
  <c r="R8" i="1"/>
  <c r="C31" i="1" s="1"/>
  <c r="Q8" i="1"/>
  <c r="Q26" i="1" s="1"/>
  <c r="P8" i="1"/>
  <c r="P26" i="1" s="1"/>
  <c r="C32" i="1" l="1"/>
  <c r="C33" i="1"/>
  <c r="C30" i="1"/>
  <c r="C35" i="1" s="1"/>
  <c r="C34" i="1"/>
</calcChain>
</file>

<file path=xl/sharedStrings.xml><?xml version="1.0" encoding="utf-8"?>
<sst xmlns="http://schemas.openxmlformats.org/spreadsheetml/2006/main" count="85" uniqueCount="58">
  <si>
    <t>REKAPITULASI HASIL UJI KEPRAKTISAN WEBSITE</t>
  </si>
  <si>
    <t>Unit Layanan Terpadu (ULT) FKIP Universitas Lampung</t>
  </si>
  <si>
    <t>Instrumen Uji Kepraktisan - Skala Likert 1-5 (5 = Sangat Setuju, 1 = Sangat Tidak Setuju)</t>
  </si>
  <si>
    <t>No</t>
  </si>
  <si>
    <t>Nama Responden</t>
  </si>
  <si>
    <t>Peran / Program Studi</t>
  </si>
  <si>
    <t>A1</t>
  </si>
  <si>
    <t>A2</t>
  </si>
  <si>
    <t>A3</t>
  </si>
  <si>
    <t>B1</t>
  </si>
  <si>
    <t>B2</t>
  </si>
  <si>
    <t>B3</t>
  </si>
  <si>
    <t>C1</t>
  </si>
  <si>
    <t>C2</t>
  </si>
  <si>
    <t>D1</t>
  </si>
  <si>
    <t>D2</t>
  </si>
  <si>
    <t>E1</t>
  </si>
  <si>
    <t>E2</t>
  </si>
  <si>
    <t>Total Skor</t>
  </si>
  <si>
    <t>Persentase (%)</t>
  </si>
  <si>
    <t>Kategori Kepraktisan</t>
  </si>
  <si>
    <t>Kesimpulan Responden</t>
  </si>
  <si>
    <t>Anisa</t>
  </si>
  <si>
    <t>Admin</t>
  </si>
  <si>
    <t>Praktis untuk digunakan</t>
  </si>
  <si>
    <t>Lisa</t>
  </si>
  <si>
    <t>Riswan</t>
  </si>
  <si>
    <t>Cukup praktis untuk digunakan</t>
  </si>
  <si>
    <t>Khaerul</t>
  </si>
  <si>
    <t>PBS (Pend. Bahasa &amp; Sastra)</t>
  </si>
  <si>
    <t>Sangat praktis untuk digunakan</t>
  </si>
  <si>
    <t>Martin</t>
  </si>
  <si>
    <t>Nurani</t>
  </si>
  <si>
    <t>Aulia</t>
  </si>
  <si>
    <t>PIP (Pend. Ilmu Pengetahuan)</t>
  </si>
  <si>
    <t>Nazwa</t>
  </si>
  <si>
    <t>Salsa</t>
  </si>
  <si>
    <t>Andhini</t>
  </si>
  <si>
    <t>PIPS (Pend. Ilmu Pengetahuan Sosial)</t>
  </si>
  <si>
    <t>Arya</t>
  </si>
  <si>
    <t>Mita</t>
  </si>
  <si>
    <t>Nabila</t>
  </si>
  <si>
    <t>PMIPA (Pend. Matematika &amp; IPA)</t>
  </si>
  <si>
    <t>Nur</t>
  </si>
  <si>
    <t>Rizky</t>
  </si>
  <si>
    <t>Agus</t>
  </si>
  <si>
    <t>ULT (Unit Layanan Terpadu)</t>
  </si>
  <si>
    <t>Amrul</t>
  </si>
  <si>
    <t>Tri</t>
  </si>
  <si>
    <t>Rata-rata Skor / Persentase</t>
  </si>
  <si>
    <t>-</t>
  </si>
  <si>
    <t>RINGKASAN DISTRIBUSI KATEGORI</t>
  </si>
  <si>
    <t>Sangat Praktis (81% - 100%)</t>
  </si>
  <si>
    <t>Praktis (61% - 80%)</t>
  </si>
  <si>
    <t>Cukup Praktis (41% - 60%)</t>
  </si>
  <si>
    <t>Kurang Praktis (21% - 40%)</t>
  </si>
  <si>
    <t>Tidak Praktis (0% - 20%)</t>
  </si>
  <si>
    <t>Total Responden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</si>
</sst>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6"/>
      <color rgb="FF0F4C5C"/>
      <name val="Segoe UI"/>
    </font>
    <font>
      <i/>
      <sz val="10"/>
      <color rgb="FF555555"/>
      <name val="Segoe UI"/>
    </font>
    <font>
      <b/>
      <sz val="11"/>
      <color rgb="FFFFFFFF"/>
      <name val="Segoe UI"/>
    </font>
    <font>
      <sz val="10"/>
      <color rgb="FF333333"/>
      <name val="Segoe UI"/>
    </font>
    <font>
      <b/>
      <sz val="10"/>
      <color rgb="FF0F4C5C"/>
      <name val="Segoe UI"/>
    </font>
    <font>
      <b/>
      <sz val="11"/>
      <color rgb="FF000000"/>
      <name val="Segoe UI"/>
    </font>
    <font>
      <b/>
      <sz val="11"/>
      <color rgb="FF0F4C5C"/>
      <name val="Segoe UI"/>
    </font>
    <font>
      <b/>
      <sz val="1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0F4C5C"/>
        <bgColor rgb="FF0F4C5C"/>
      </patternFill>
    </fill>
    <fill>
      <patternFill patternType="solid">
        <fgColor rgb="FFFFFFFF"/>
        <bgColor rgb="FFFFFFFF"/>
      </patternFill>
    </fill>
    <fill>
      <patternFill patternType="solid">
        <fgColor rgb="FFF4F9FA"/>
        <bgColor rgb="FFF4F9FA"/>
      </patternFill>
    </fill>
    <fill>
      <patternFill patternType="solid">
        <fgColor rgb="FFEAF2F4"/>
        <bgColor rgb="FFEAF2F4"/>
      </patternFill>
    </fill>
    <fill>
      <patternFill patternType="solid">
        <fgColor rgb="FFD6E5E8"/>
        <bgColor rgb="FFD6E5E8"/>
      </patternFill>
    </fill>
    <fill>
      <patternFill patternType="solid">
        <fgColor rgb="FFC2D9DE"/>
        <bgColor rgb="FFC2D9DE"/>
      </patternFill>
    </fill>
  </fills>
  <borders count="3">
    <border>
      <left/>
      <right/>
      <top/>
      <bottom/>
      <diagonal/>
    </border>
    <border>
      <left style="thin">
        <color rgb="FFD0D9DC"/>
      </left>
      <right style="thin">
        <color rgb="FFD0D9DC"/>
      </right>
      <top style="thin">
        <color rgb="FFD0D9DC"/>
      </top>
      <bottom style="thin">
        <color rgb="FFD0D9DC"/>
      </bottom>
      <diagonal/>
    </border>
    <border>
      <left style="thin">
        <color rgb="FFD0D9DC"/>
      </left>
      <right style="thin">
        <color rgb="FFD0D9DC"/>
      </right>
      <top style="thin">
        <color rgb="FF0F4C5C"/>
      </top>
      <bottom style="double">
        <color rgb="FF0F4C5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2" fontId="5" fillId="4" borderId="1" xfId="0" applyNumberFormat="1" applyFont="1" applyFill="1" applyBorder="1" applyAlignment="1">
      <alignment horizontal="center" vertical="center"/>
    </xf>
    <xf numFmtId="2" fontId="6" fillId="5" borderId="2" xfId="0" applyNumberFormat="1" applyFont="1" applyFill="1" applyBorder="1" applyAlignment="1">
      <alignment horizontal="center" vertical="center"/>
    </xf>
    <xf numFmtId="2" fontId="6" fillId="6" borderId="2" xfId="0" applyNumberFormat="1" applyFont="1" applyFill="1" applyBorder="1" applyAlignment="1">
      <alignment horizontal="center" vertical="center"/>
    </xf>
    <xf numFmtId="2" fontId="6" fillId="7" borderId="2" xfId="0" applyNumberFormat="1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7" fillId="0" borderId="0" xfId="0" applyFont="1"/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0" fontId="8" fillId="5" borderId="1" xfId="0" applyFont="1" applyFill="1" applyBorder="1"/>
    <xf numFmtId="0" fontId="8" fillId="5" borderId="1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right" vertical="center"/>
    </xf>
    <xf numFmtId="0" fontId="0" fillId="5" borderId="2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35"/>
  <sheetViews>
    <sheetView tabSelected="1" topLeftCell="H5" workbookViewId="0">
      <pane ySplit="3" topLeftCell="A8" activePane="bottomLeft" state="frozen"/>
      <selection activeCell="A5" sqref="A5"/>
      <selection pane="bottomLeft" activeCell="A20" sqref="A20:XFD20"/>
    </sheetView>
  </sheetViews>
  <sheetFormatPr defaultRowHeight="15"/>
  <cols>
    <col min="1" max="1" width="31" customWidth="1"/>
    <col min="2" max="2" width="25" customWidth="1"/>
    <col min="3" max="3" width="30" customWidth="1"/>
    <col min="4" max="17" width="20" customWidth="1"/>
    <col min="18" max="18" width="192" customWidth="1"/>
    <col min="19" max="19" width="32" customWidth="1"/>
  </cols>
  <sheetData>
    <row r="2" spans="1:19" ht="25.5">
      <c r="B2" s="1" t="s">
        <v>0</v>
      </c>
    </row>
    <row r="3" spans="1:19" ht="25.5">
      <c r="B3" s="1" t="s">
        <v>1</v>
      </c>
    </row>
    <row r="4" spans="1:19">
      <c r="B4" s="2" t="s">
        <v>2</v>
      </c>
    </row>
    <row r="7" spans="1:19" ht="27.95" customHeight="1">
      <c r="A7" s="3" t="s">
        <v>3</v>
      </c>
      <c r="B7" s="3" t="s">
        <v>4</v>
      </c>
      <c r="C7" s="3" t="s">
        <v>5</v>
      </c>
      <c r="D7" s="3" t="s">
        <v>6</v>
      </c>
      <c r="E7" s="3" t="s">
        <v>7</v>
      </c>
      <c r="F7" s="3" t="s">
        <v>8</v>
      </c>
      <c r="G7" s="3" t="s">
        <v>9</v>
      </c>
      <c r="H7" s="3" t="s">
        <v>10</v>
      </c>
      <c r="I7" s="3" t="s">
        <v>11</v>
      </c>
      <c r="J7" s="3" t="s">
        <v>12</v>
      </c>
      <c r="K7" s="3" t="s">
        <v>13</v>
      </c>
      <c r="L7" s="3" t="s">
        <v>14</v>
      </c>
      <c r="M7" s="3" t="s">
        <v>15</v>
      </c>
      <c r="N7" s="3" t="s">
        <v>16</v>
      </c>
      <c r="O7" s="3" t="s">
        <v>17</v>
      </c>
      <c r="P7" s="3" t="s">
        <v>18</v>
      </c>
      <c r="Q7" s="3" t="s">
        <v>19</v>
      </c>
      <c r="R7" s="3" t="s">
        <v>20</v>
      </c>
      <c r="S7" s="3" t="s">
        <v>21</v>
      </c>
    </row>
    <row r="8" spans="1:19" ht="20.100000000000001" customHeight="1">
      <c r="A8" s="4">
        <v>1</v>
      </c>
      <c r="B8" s="5" t="s">
        <v>22</v>
      </c>
      <c r="C8" s="5" t="s">
        <v>23</v>
      </c>
      <c r="D8" s="4">
        <v>5</v>
      </c>
      <c r="E8" s="4">
        <v>4</v>
      </c>
      <c r="F8" s="4">
        <v>5</v>
      </c>
      <c r="G8" s="4">
        <v>5</v>
      </c>
      <c r="H8" s="4">
        <v>5</v>
      </c>
      <c r="I8" s="4">
        <v>5</v>
      </c>
      <c r="J8" s="4">
        <v>4</v>
      </c>
      <c r="K8" s="4">
        <v>4</v>
      </c>
      <c r="L8" s="4">
        <v>4</v>
      </c>
      <c r="M8" s="4">
        <v>4</v>
      </c>
      <c r="N8" s="4">
        <v>4</v>
      </c>
      <c r="O8" s="4">
        <v>4</v>
      </c>
      <c r="P8" s="6">
        <f t="shared" ref="P8:P25" si="0">SUM(D8:O8)</f>
        <v>53</v>
      </c>
      <c r="Q8" s="7">
        <f t="shared" ref="Q8:Q25" si="1">P8/60*100</f>
        <v>88.333333333333329</v>
      </c>
      <c r="R8" s="6" t="str">
        <f t="shared" ref="R8:R25" si="2">IF(LEFT(S8, 6)="Sangat", "Sangat Praktis", IF(LEFT(S8, 7)="Praktis", "Praktis", IF(LEFT(S8, 5)="Cukup", "Cukup Praktis", IF(LEFT(S8, 6)="Kurang", "Kurang Praktis", "Tidak Praktis"))))</f>
        <v>Praktis</v>
      </c>
      <c r="S8" s="5" t="s">
        <v>24</v>
      </c>
    </row>
    <row r="9" spans="1:19" ht="20.100000000000001" customHeight="1">
      <c r="A9" s="8">
        <v>2</v>
      </c>
      <c r="B9" s="9" t="s">
        <v>25</v>
      </c>
      <c r="C9" s="9" t="s">
        <v>23</v>
      </c>
      <c r="D9" s="8">
        <v>5</v>
      </c>
      <c r="E9" s="8">
        <v>5</v>
      </c>
      <c r="F9" s="8">
        <v>5</v>
      </c>
      <c r="G9" s="8">
        <v>5</v>
      </c>
      <c r="H9" s="8">
        <v>5</v>
      </c>
      <c r="I9" s="8">
        <v>5</v>
      </c>
      <c r="J9" s="8">
        <v>5</v>
      </c>
      <c r="K9" s="8">
        <v>4</v>
      </c>
      <c r="L9" s="8">
        <v>5</v>
      </c>
      <c r="M9" s="8">
        <v>5</v>
      </c>
      <c r="N9" s="8">
        <v>4</v>
      </c>
      <c r="O9" s="8">
        <v>4</v>
      </c>
      <c r="P9" s="10">
        <f t="shared" si="0"/>
        <v>57</v>
      </c>
      <c r="Q9" s="11">
        <f t="shared" si="1"/>
        <v>95</v>
      </c>
      <c r="R9" s="10" t="str">
        <f t="shared" si="2"/>
        <v>Praktis</v>
      </c>
      <c r="S9" s="9" t="s">
        <v>24</v>
      </c>
    </row>
    <row r="10" spans="1:19" ht="20.100000000000001" customHeight="1">
      <c r="A10" s="4">
        <v>3</v>
      </c>
      <c r="B10" s="5" t="s">
        <v>26</v>
      </c>
      <c r="C10" s="5" t="s">
        <v>23</v>
      </c>
      <c r="D10" s="4">
        <v>4</v>
      </c>
      <c r="E10" s="4">
        <v>4</v>
      </c>
      <c r="F10" s="4">
        <v>4</v>
      </c>
      <c r="G10" s="4">
        <v>3</v>
      </c>
      <c r="H10" s="4">
        <v>4</v>
      </c>
      <c r="I10" s="4">
        <v>4</v>
      </c>
      <c r="J10" s="4">
        <v>3</v>
      </c>
      <c r="K10" s="4">
        <v>3</v>
      </c>
      <c r="L10" s="4">
        <v>3</v>
      </c>
      <c r="M10" s="4">
        <v>4</v>
      </c>
      <c r="N10" s="4">
        <v>3</v>
      </c>
      <c r="O10" s="4">
        <v>4</v>
      </c>
      <c r="P10" s="6">
        <f t="shared" si="0"/>
        <v>43</v>
      </c>
      <c r="Q10" s="7">
        <f t="shared" si="1"/>
        <v>71.666666666666671</v>
      </c>
      <c r="R10" s="6" t="str">
        <f t="shared" si="2"/>
        <v>Cukup Praktis</v>
      </c>
      <c r="S10" s="5" t="s">
        <v>27</v>
      </c>
    </row>
    <row r="11" spans="1:19" ht="20.100000000000001" customHeight="1">
      <c r="A11" s="8">
        <v>4</v>
      </c>
      <c r="B11" s="9" t="s">
        <v>28</v>
      </c>
      <c r="C11" s="9" t="s">
        <v>29</v>
      </c>
      <c r="D11" s="8">
        <v>5</v>
      </c>
      <c r="E11" s="8">
        <v>5</v>
      </c>
      <c r="F11" s="8">
        <v>5</v>
      </c>
      <c r="G11" s="8">
        <v>5</v>
      </c>
      <c r="H11" s="8">
        <v>5</v>
      </c>
      <c r="I11" s="8">
        <v>5</v>
      </c>
      <c r="J11" s="8">
        <v>5</v>
      </c>
      <c r="K11" s="8">
        <v>5</v>
      </c>
      <c r="L11" s="8">
        <v>5</v>
      </c>
      <c r="M11" s="8">
        <v>5</v>
      </c>
      <c r="N11" s="8">
        <v>5</v>
      </c>
      <c r="O11" s="8">
        <v>5</v>
      </c>
      <c r="P11" s="10">
        <f t="shared" si="0"/>
        <v>60</v>
      </c>
      <c r="Q11" s="11">
        <f t="shared" si="1"/>
        <v>100</v>
      </c>
      <c r="R11" s="10" t="str">
        <f t="shared" si="2"/>
        <v>Sangat Praktis</v>
      </c>
      <c r="S11" s="9" t="s">
        <v>30</v>
      </c>
    </row>
    <row r="12" spans="1:19" ht="20.100000000000001" customHeight="1">
      <c r="A12" s="4">
        <v>5</v>
      </c>
      <c r="B12" s="5" t="s">
        <v>31</v>
      </c>
      <c r="C12" s="5" t="s">
        <v>29</v>
      </c>
      <c r="D12" s="4">
        <v>5</v>
      </c>
      <c r="E12" s="4">
        <v>5</v>
      </c>
      <c r="F12" s="4">
        <v>5</v>
      </c>
      <c r="G12" s="4">
        <v>4</v>
      </c>
      <c r="H12" s="4">
        <v>4</v>
      </c>
      <c r="I12" s="4">
        <v>5</v>
      </c>
      <c r="J12" s="4">
        <v>5</v>
      </c>
      <c r="K12" s="4">
        <v>5</v>
      </c>
      <c r="L12" s="4">
        <v>5</v>
      </c>
      <c r="M12" s="4">
        <v>5</v>
      </c>
      <c r="N12" s="4">
        <v>5</v>
      </c>
      <c r="O12" s="4">
        <v>5</v>
      </c>
      <c r="P12" s="6">
        <f t="shared" si="0"/>
        <v>58</v>
      </c>
      <c r="Q12" s="7">
        <f t="shared" si="1"/>
        <v>96.666666666666671</v>
      </c>
      <c r="R12" s="6" t="str">
        <f t="shared" si="2"/>
        <v>Praktis</v>
      </c>
      <c r="S12" s="5" t="s">
        <v>24</v>
      </c>
    </row>
    <row r="13" spans="1:19" ht="20.100000000000001" customHeight="1">
      <c r="A13" s="8">
        <v>6</v>
      </c>
      <c r="B13" s="9" t="s">
        <v>32</v>
      </c>
      <c r="C13" s="9" t="s">
        <v>29</v>
      </c>
      <c r="D13" s="8">
        <v>5</v>
      </c>
      <c r="E13" s="8">
        <v>5</v>
      </c>
      <c r="F13" s="8">
        <v>5</v>
      </c>
      <c r="G13" s="8">
        <v>4</v>
      </c>
      <c r="H13" s="8">
        <v>5</v>
      </c>
      <c r="I13" s="8">
        <v>5</v>
      </c>
      <c r="J13" s="8">
        <v>5</v>
      </c>
      <c r="K13" s="8">
        <v>5</v>
      </c>
      <c r="L13" s="8">
        <v>5</v>
      </c>
      <c r="M13" s="8">
        <v>5</v>
      </c>
      <c r="N13" s="8">
        <v>5</v>
      </c>
      <c r="O13" s="8">
        <v>5</v>
      </c>
      <c r="P13" s="10">
        <f t="shared" si="0"/>
        <v>59</v>
      </c>
      <c r="Q13" s="11">
        <f t="shared" si="1"/>
        <v>98.333333333333329</v>
      </c>
      <c r="R13" s="10" t="str">
        <f t="shared" si="2"/>
        <v>Sangat Praktis</v>
      </c>
      <c r="S13" s="9" t="s">
        <v>30</v>
      </c>
    </row>
    <row r="14" spans="1:19" ht="20.100000000000001" customHeight="1">
      <c r="A14" s="4">
        <v>7</v>
      </c>
      <c r="B14" s="5" t="s">
        <v>33</v>
      </c>
      <c r="C14" s="5" t="s">
        <v>34</v>
      </c>
      <c r="D14" s="4">
        <v>5</v>
      </c>
      <c r="E14" s="4">
        <v>5</v>
      </c>
      <c r="F14" s="4">
        <v>5</v>
      </c>
      <c r="G14" s="4">
        <v>5</v>
      </c>
      <c r="H14" s="4">
        <v>5</v>
      </c>
      <c r="I14" s="4">
        <v>5</v>
      </c>
      <c r="J14" s="4">
        <v>5</v>
      </c>
      <c r="K14" s="4">
        <v>5</v>
      </c>
      <c r="L14" s="4">
        <v>5</v>
      </c>
      <c r="M14" s="4">
        <v>5</v>
      </c>
      <c r="N14" s="4">
        <v>4</v>
      </c>
      <c r="O14" s="4">
        <v>4</v>
      </c>
      <c r="P14" s="6">
        <f t="shared" si="0"/>
        <v>58</v>
      </c>
      <c r="Q14" s="7">
        <f t="shared" si="1"/>
        <v>96.666666666666671</v>
      </c>
      <c r="R14" s="6" t="str">
        <f t="shared" si="2"/>
        <v>Sangat Praktis</v>
      </c>
      <c r="S14" s="5" t="s">
        <v>30</v>
      </c>
    </row>
    <row r="15" spans="1:19" ht="20.100000000000001" customHeight="1">
      <c r="A15" s="8">
        <v>8</v>
      </c>
      <c r="B15" s="9" t="s">
        <v>35</v>
      </c>
      <c r="C15" s="9" t="s">
        <v>34</v>
      </c>
      <c r="D15" s="8">
        <v>5</v>
      </c>
      <c r="E15" s="8">
        <v>5</v>
      </c>
      <c r="F15" s="8">
        <v>5</v>
      </c>
      <c r="G15" s="8">
        <v>5</v>
      </c>
      <c r="H15" s="8">
        <v>5</v>
      </c>
      <c r="I15" s="8">
        <v>5</v>
      </c>
      <c r="J15" s="8">
        <v>5</v>
      </c>
      <c r="K15" s="8">
        <v>5</v>
      </c>
      <c r="L15" s="8">
        <v>5</v>
      </c>
      <c r="M15" s="8">
        <v>5</v>
      </c>
      <c r="N15" s="8">
        <v>5</v>
      </c>
      <c r="O15" s="8">
        <v>5</v>
      </c>
      <c r="P15" s="10">
        <f t="shared" si="0"/>
        <v>60</v>
      </c>
      <c r="Q15" s="11">
        <f t="shared" si="1"/>
        <v>100</v>
      </c>
      <c r="R15" s="10" t="str">
        <f t="shared" si="2"/>
        <v>Sangat Praktis</v>
      </c>
      <c r="S15" s="9" t="s">
        <v>30</v>
      </c>
    </row>
    <row r="16" spans="1:19" ht="20.100000000000001" customHeight="1">
      <c r="A16" s="4">
        <v>9</v>
      </c>
      <c r="B16" s="5" t="s">
        <v>36</v>
      </c>
      <c r="C16" s="5" t="s">
        <v>34</v>
      </c>
      <c r="D16" s="4">
        <v>5</v>
      </c>
      <c r="E16" s="4">
        <v>4</v>
      </c>
      <c r="F16" s="4">
        <v>5</v>
      </c>
      <c r="G16" s="4">
        <v>5</v>
      </c>
      <c r="H16" s="4">
        <v>5</v>
      </c>
      <c r="I16" s="4">
        <v>4</v>
      </c>
      <c r="J16" s="4">
        <v>5</v>
      </c>
      <c r="K16" s="4">
        <v>4</v>
      </c>
      <c r="L16" s="4">
        <v>4</v>
      </c>
      <c r="M16" s="4">
        <v>5</v>
      </c>
      <c r="N16" s="4">
        <v>5</v>
      </c>
      <c r="O16" s="4">
        <v>5</v>
      </c>
      <c r="P16" s="6">
        <f t="shared" si="0"/>
        <v>56</v>
      </c>
      <c r="Q16" s="7">
        <f t="shared" si="1"/>
        <v>93.333333333333329</v>
      </c>
      <c r="R16" s="6" t="str">
        <f t="shared" si="2"/>
        <v>Praktis</v>
      </c>
      <c r="S16" s="5" t="s">
        <v>24</v>
      </c>
    </row>
    <row r="17" spans="1:19" ht="20.100000000000001" customHeight="1">
      <c r="A17" s="8">
        <v>10</v>
      </c>
      <c r="B17" s="9" t="s">
        <v>37</v>
      </c>
      <c r="C17" s="9" t="s">
        <v>38</v>
      </c>
      <c r="D17" s="8">
        <v>4</v>
      </c>
      <c r="E17" s="8">
        <v>4</v>
      </c>
      <c r="F17" s="8">
        <v>4</v>
      </c>
      <c r="G17" s="8">
        <v>4</v>
      </c>
      <c r="H17" s="8">
        <v>4</v>
      </c>
      <c r="I17" s="8">
        <v>4</v>
      </c>
      <c r="J17" s="8">
        <v>4</v>
      </c>
      <c r="K17" s="8">
        <v>4</v>
      </c>
      <c r="L17" s="8">
        <v>4</v>
      </c>
      <c r="M17" s="8">
        <v>4</v>
      </c>
      <c r="N17" s="8">
        <v>4</v>
      </c>
      <c r="O17" s="8">
        <v>4</v>
      </c>
      <c r="P17" s="10">
        <f t="shared" si="0"/>
        <v>48</v>
      </c>
      <c r="Q17" s="11">
        <f t="shared" si="1"/>
        <v>80</v>
      </c>
      <c r="R17" s="10" t="str">
        <f t="shared" si="2"/>
        <v>Sangat Praktis</v>
      </c>
      <c r="S17" s="9" t="s">
        <v>30</v>
      </c>
    </row>
    <row r="18" spans="1:19" ht="20.100000000000001" customHeight="1">
      <c r="A18" s="4">
        <v>11</v>
      </c>
      <c r="B18" s="5" t="s">
        <v>39</v>
      </c>
      <c r="C18" s="5" t="s">
        <v>38</v>
      </c>
      <c r="D18" s="4">
        <v>4</v>
      </c>
      <c r="E18" s="4">
        <v>5</v>
      </c>
      <c r="F18" s="4">
        <v>4</v>
      </c>
      <c r="G18" s="4">
        <v>4</v>
      </c>
      <c r="H18" s="4">
        <v>5</v>
      </c>
      <c r="I18" s="4">
        <v>4</v>
      </c>
      <c r="J18" s="4">
        <v>4</v>
      </c>
      <c r="K18" s="4">
        <v>4</v>
      </c>
      <c r="L18" s="4">
        <v>5</v>
      </c>
      <c r="M18" s="4">
        <v>4</v>
      </c>
      <c r="N18" s="4">
        <v>4</v>
      </c>
      <c r="O18" s="4">
        <v>4</v>
      </c>
      <c r="P18" s="6">
        <f t="shared" si="0"/>
        <v>51</v>
      </c>
      <c r="Q18" s="7">
        <f t="shared" si="1"/>
        <v>85</v>
      </c>
      <c r="R18" s="6" t="str">
        <f t="shared" si="2"/>
        <v>Praktis</v>
      </c>
      <c r="S18" s="5" t="s">
        <v>24</v>
      </c>
    </row>
    <row r="19" spans="1:19" ht="20.100000000000001" customHeight="1">
      <c r="A19" s="8">
        <v>12</v>
      </c>
      <c r="B19" s="9" t="s">
        <v>40</v>
      </c>
      <c r="C19" s="9" t="s">
        <v>38</v>
      </c>
      <c r="D19" s="8">
        <v>4</v>
      </c>
      <c r="E19" s="8">
        <v>5</v>
      </c>
      <c r="F19" s="8">
        <v>5</v>
      </c>
      <c r="G19" s="8">
        <v>4</v>
      </c>
      <c r="H19" s="8">
        <v>4</v>
      </c>
      <c r="I19" s="8">
        <v>5</v>
      </c>
      <c r="J19" s="8">
        <v>4</v>
      </c>
      <c r="K19" s="8">
        <v>4</v>
      </c>
      <c r="L19" s="8">
        <v>4</v>
      </c>
      <c r="M19" s="8">
        <v>5</v>
      </c>
      <c r="N19" s="8">
        <v>3</v>
      </c>
      <c r="O19" s="8">
        <v>3</v>
      </c>
      <c r="P19" s="10">
        <f t="shared" si="0"/>
        <v>50</v>
      </c>
      <c r="Q19" s="11">
        <f t="shared" si="1"/>
        <v>83.333333333333343</v>
      </c>
      <c r="R19" s="10" t="str">
        <f t="shared" si="2"/>
        <v>Praktis</v>
      </c>
      <c r="S19" s="9" t="s">
        <v>24</v>
      </c>
    </row>
    <row r="20" spans="1:19" ht="20.100000000000001" customHeight="1">
      <c r="A20" s="4">
        <v>13</v>
      </c>
      <c r="B20" s="5" t="s">
        <v>41</v>
      </c>
      <c r="C20" s="5" t="s">
        <v>42</v>
      </c>
      <c r="D20" s="4">
        <v>5</v>
      </c>
      <c r="E20" s="4">
        <v>5</v>
      </c>
      <c r="F20" s="4">
        <v>5</v>
      </c>
      <c r="G20" s="4">
        <v>5</v>
      </c>
      <c r="H20" s="4">
        <v>4</v>
      </c>
      <c r="I20" s="4">
        <v>5</v>
      </c>
      <c r="J20" s="4">
        <v>5</v>
      </c>
      <c r="K20" s="4">
        <v>5</v>
      </c>
      <c r="L20" s="4">
        <v>4</v>
      </c>
      <c r="M20" s="4">
        <v>4</v>
      </c>
      <c r="N20" s="4">
        <v>4</v>
      </c>
      <c r="O20" s="4">
        <v>5</v>
      </c>
      <c r="P20" s="6">
        <f t="shared" si="0"/>
        <v>56</v>
      </c>
      <c r="Q20" s="7">
        <f t="shared" si="1"/>
        <v>93.333333333333329</v>
      </c>
      <c r="R20" s="6" t="str">
        <f t="shared" si="2"/>
        <v>Praktis</v>
      </c>
      <c r="S20" s="5" t="s">
        <v>24</v>
      </c>
    </row>
    <row r="21" spans="1:19" ht="20.100000000000001" customHeight="1">
      <c r="A21" s="8">
        <v>14</v>
      </c>
      <c r="B21" s="9" t="s">
        <v>43</v>
      </c>
      <c r="C21" s="9" t="s">
        <v>42</v>
      </c>
      <c r="D21" s="8">
        <v>1</v>
      </c>
      <c r="E21" s="8">
        <v>5</v>
      </c>
      <c r="F21" s="8">
        <v>5</v>
      </c>
      <c r="G21" s="8">
        <v>5</v>
      </c>
      <c r="H21" s="8">
        <v>5</v>
      </c>
      <c r="I21" s="8">
        <v>5</v>
      </c>
      <c r="J21" s="8">
        <v>5</v>
      </c>
      <c r="K21" s="8">
        <v>5</v>
      </c>
      <c r="L21" s="8">
        <v>5</v>
      </c>
      <c r="M21" s="8">
        <v>5</v>
      </c>
      <c r="N21" s="8">
        <v>5</v>
      </c>
      <c r="O21" s="8">
        <v>5</v>
      </c>
      <c r="P21" s="10">
        <f t="shared" si="0"/>
        <v>56</v>
      </c>
      <c r="Q21" s="11">
        <f t="shared" si="1"/>
        <v>93.333333333333329</v>
      </c>
      <c r="R21" s="10" t="str">
        <f t="shared" si="2"/>
        <v>Praktis</v>
      </c>
      <c r="S21" s="9" t="s">
        <v>24</v>
      </c>
    </row>
    <row r="22" spans="1:19" ht="20.100000000000001" customHeight="1">
      <c r="A22" s="4">
        <v>15</v>
      </c>
      <c r="B22" s="5" t="s">
        <v>44</v>
      </c>
      <c r="C22" s="5" t="s">
        <v>42</v>
      </c>
      <c r="D22" s="4">
        <v>4</v>
      </c>
      <c r="E22" s="4">
        <v>4</v>
      </c>
      <c r="F22" s="4">
        <v>5</v>
      </c>
      <c r="G22" s="4">
        <v>4</v>
      </c>
      <c r="H22" s="4">
        <v>3</v>
      </c>
      <c r="I22" s="4">
        <v>4</v>
      </c>
      <c r="J22" s="4">
        <v>4</v>
      </c>
      <c r="K22" s="4">
        <v>5</v>
      </c>
      <c r="L22" s="4">
        <v>5</v>
      </c>
      <c r="M22" s="4">
        <v>4</v>
      </c>
      <c r="N22" s="4">
        <v>5</v>
      </c>
      <c r="O22" s="4">
        <v>4</v>
      </c>
      <c r="P22" s="6">
        <f t="shared" si="0"/>
        <v>51</v>
      </c>
      <c r="Q22" s="7">
        <f t="shared" si="1"/>
        <v>85</v>
      </c>
      <c r="R22" s="6" t="str">
        <f t="shared" si="2"/>
        <v>Sangat Praktis</v>
      </c>
      <c r="S22" s="5" t="s">
        <v>30</v>
      </c>
    </row>
    <row r="23" spans="1:19" ht="20.100000000000001" customHeight="1">
      <c r="A23" s="8">
        <v>16</v>
      </c>
      <c r="B23" s="9" t="s">
        <v>45</v>
      </c>
      <c r="C23" s="9" t="s">
        <v>46</v>
      </c>
      <c r="D23" s="8">
        <v>5</v>
      </c>
      <c r="E23" s="8">
        <v>5</v>
      </c>
      <c r="F23" s="8">
        <v>5</v>
      </c>
      <c r="G23" s="8">
        <v>5</v>
      </c>
      <c r="H23" s="8">
        <v>5</v>
      </c>
      <c r="I23" s="8">
        <v>5</v>
      </c>
      <c r="J23" s="8">
        <v>5</v>
      </c>
      <c r="K23" s="8">
        <v>5</v>
      </c>
      <c r="L23" s="8">
        <v>5</v>
      </c>
      <c r="M23" s="8">
        <v>5</v>
      </c>
      <c r="N23" s="8">
        <v>5</v>
      </c>
      <c r="O23" s="8">
        <v>5</v>
      </c>
      <c r="P23" s="10">
        <f t="shared" si="0"/>
        <v>60</v>
      </c>
      <c r="Q23" s="11">
        <f t="shared" si="1"/>
        <v>100</v>
      </c>
      <c r="R23" s="10" t="str">
        <f t="shared" si="2"/>
        <v>Sangat Praktis</v>
      </c>
      <c r="S23" s="9" t="s">
        <v>30</v>
      </c>
    </row>
    <row r="24" spans="1:19" ht="20.100000000000001" customHeight="1">
      <c r="A24" s="4">
        <v>17</v>
      </c>
      <c r="B24" s="5" t="s">
        <v>47</v>
      </c>
      <c r="C24" s="5" t="s">
        <v>46</v>
      </c>
      <c r="D24" s="4">
        <v>5</v>
      </c>
      <c r="E24" s="4">
        <v>5</v>
      </c>
      <c r="F24" s="4">
        <v>5</v>
      </c>
      <c r="G24" s="4">
        <v>5</v>
      </c>
      <c r="H24" s="4">
        <v>5</v>
      </c>
      <c r="I24" s="4">
        <v>5</v>
      </c>
      <c r="J24" s="4">
        <v>5</v>
      </c>
      <c r="K24" s="4">
        <v>5</v>
      </c>
      <c r="L24" s="4">
        <v>5</v>
      </c>
      <c r="M24" s="4">
        <v>4</v>
      </c>
      <c r="N24" s="4">
        <v>5</v>
      </c>
      <c r="O24" s="4">
        <v>5</v>
      </c>
      <c r="P24" s="6">
        <f t="shared" si="0"/>
        <v>59</v>
      </c>
      <c r="Q24" s="7">
        <f t="shared" si="1"/>
        <v>98.333333333333329</v>
      </c>
      <c r="R24" s="6" t="str">
        <f t="shared" si="2"/>
        <v>Sangat Praktis</v>
      </c>
      <c r="S24" s="5" t="s">
        <v>30</v>
      </c>
    </row>
    <row r="25" spans="1:19" ht="20.100000000000001" customHeight="1">
      <c r="A25" s="8">
        <v>18</v>
      </c>
      <c r="B25" s="9" t="s">
        <v>48</v>
      </c>
      <c r="C25" s="9" t="s">
        <v>46</v>
      </c>
      <c r="D25" s="8">
        <v>5</v>
      </c>
      <c r="E25" s="8">
        <v>5</v>
      </c>
      <c r="F25" s="8">
        <v>5</v>
      </c>
      <c r="G25" s="8">
        <v>5</v>
      </c>
      <c r="H25" s="8">
        <v>5</v>
      </c>
      <c r="I25" s="8">
        <v>5</v>
      </c>
      <c r="J25" s="8">
        <v>5</v>
      </c>
      <c r="K25" s="8">
        <v>5</v>
      </c>
      <c r="L25" s="8">
        <v>5</v>
      </c>
      <c r="M25" s="8">
        <v>5</v>
      </c>
      <c r="N25" s="8">
        <v>5</v>
      </c>
      <c r="O25" s="8">
        <v>5</v>
      </c>
      <c r="P25" s="10">
        <f t="shared" si="0"/>
        <v>60</v>
      </c>
      <c r="Q25" s="11">
        <f t="shared" si="1"/>
        <v>100</v>
      </c>
      <c r="R25" s="10" t="str">
        <f t="shared" si="2"/>
        <v>Praktis</v>
      </c>
      <c r="S25" s="9" t="s">
        <v>24</v>
      </c>
    </row>
    <row r="26" spans="1:19" ht="24" customHeight="1">
      <c r="A26" s="22" t="s">
        <v>49</v>
      </c>
      <c r="B26" s="23"/>
      <c r="C26" s="23"/>
      <c r="D26" s="12">
        <f t="shared" ref="D26:Q26" si="3">AVERAGE(D8:D25)</f>
        <v>4.5</v>
      </c>
      <c r="E26" s="12">
        <f t="shared" si="3"/>
        <v>4.7222222222222223</v>
      </c>
      <c r="F26" s="12">
        <f t="shared" si="3"/>
        <v>4.833333333333333</v>
      </c>
      <c r="G26" s="12">
        <f t="shared" si="3"/>
        <v>4.5555555555555554</v>
      </c>
      <c r="H26" s="12">
        <f t="shared" si="3"/>
        <v>4.6111111111111107</v>
      </c>
      <c r="I26" s="12">
        <f t="shared" si="3"/>
        <v>4.7222222222222223</v>
      </c>
      <c r="J26" s="12">
        <f t="shared" si="3"/>
        <v>4.6111111111111107</v>
      </c>
      <c r="K26" s="12">
        <f t="shared" si="3"/>
        <v>4.5555555555555554</v>
      </c>
      <c r="L26" s="12">
        <f t="shared" si="3"/>
        <v>4.6111111111111107</v>
      </c>
      <c r="M26" s="12">
        <f t="shared" si="3"/>
        <v>4.6111111111111107</v>
      </c>
      <c r="N26" s="12">
        <f t="shared" si="3"/>
        <v>4.4444444444444446</v>
      </c>
      <c r="O26" s="12">
        <f t="shared" si="3"/>
        <v>4.5</v>
      </c>
      <c r="P26" s="13">
        <f t="shared" si="3"/>
        <v>55.277777777777779</v>
      </c>
      <c r="Q26" s="14">
        <f t="shared" si="3"/>
        <v>92.129629629629619</v>
      </c>
      <c r="R26" s="15" t="str">
        <f>IF(Q26&gt;=81, "Sangat Praktis", IF(Q26&gt;=61, "Praktis", IF(Q26&gt;=41, "Cukup Praktis", IF(Q26&gt;=21, "Kurang Praktis", "Tidak Praktis"))))</f>
        <v>Sangat Praktis</v>
      </c>
      <c r="S26" s="16" t="s">
        <v>50</v>
      </c>
    </row>
    <row r="29" spans="1:19" ht="16.5">
      <c r="B29" s="17" t="s">
        <v>51</v>
      </c>
    </row>
    <row r="30" spans="1:19">
      <c r="B30" s="18" t="s">
        <v>52</v>
      </c>
      <c r="C30" s="19">
        <f>COUNTIF(R8:R25, "Sangat Praktis")</f>
        <v>8</v>
      </c>
    </row>
    <row r="31" spans="1:19">
      <c r="B31" s="18" t="s">
        <v>53</v>
      </c>
      <c r="C31" s="19">
        <f>COUNTIF(R8:R25, "Praktis")</f>
        <v>9</v>
      </c>
    </row>
    <row r="32" spans="1:19">
      <c r="B32" s="18" t="s">
        <v>54</v>
      </c>
      <c r="C32" s="19">
        <f>COUNTIF(R8:R25, "Cukup Praktis")</f>
        <v>1</v>
      </c>
    </row>
    <row r="33" spans="2:3">
      <c r="B33" s="18" t="s">
        <v>55</v>
      </c>
      <c r="C33" s="19">
        <f>COUNTIF(R8:R25, "Kurang Praktis")</f>
        <v>0</v>
      </c>
    </row>
    <row r="34" spans="2:3">
      <c r="B34" s="18" t="s">
        <v>56</v>
      </c>
      <c r="C34" s="19">
        <f>COUNTIF(R8:R25, "Tidak Praktis")</f>
        <v>0</v>
      </c>
    </row>
    <row r="35" spans="2:3">
      <c r="B35" s="20" t="s">
        <v>57</v>
      </c>
      <c r="C35" s="21">
        <f>SUM(C30:C34)</f>
        <v>18</v>
      </c>
    </row>
  </sheetData>
  <mergeCells count="1">
    <mergeCell ref="A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Uji Kepraktisan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andrichadhea</cp:lastModifiedBy>
  <dcterms:created xsi:type="dcterms:W3CDTF">2026-05-21T10:51:12Z</dcterms:created>
  <dcterms:modified xsi:type="dcterms:W3CDTF">2026-05-21T11:19:51Z</dcterms:modified>
</cp:coreProperties>
</file>