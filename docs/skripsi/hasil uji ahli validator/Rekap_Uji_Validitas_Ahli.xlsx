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i\Documents\001. SKRIPSI !!!\0001. SEMHAS\hasil uji ahli validator\"/>
    </mc:Choice>
  </mc:AlternateContent>
  <xr:revisionPtr revIDLastSave="0" documentId="13_ncr:1_{3E11B360-CB4C-45FD-816E-2ABEC32E226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Rekap Keseluruhan" sheetId="1" r:id="rId1"/>
    <sheet name="Validitas Materi" sheetId="2" r:id="rId2"/>
    <sheet name="Validitas Media" sheetId="3" r:id="rId3"/>
    <sheet name="Validitas Siste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2" l="1"/>
  <c r="C32" i="4"/>
  <c r="H24" i="4"/>
  <c r="D4" i="1" s="1"/>
  <c r="F24" i="4"/>
  <c r="E24" i="4"/>
  <c r="D24" i="4"/>
  <c r="C24" i="4"/>
  <c r="I23" i="4"/>
  <c r="J23" i="4" s="1"/>
  <c r="G23" i="4"/>
  <c r="F23" i="4"/>
  <c r="I22" i="4"/>
  <c r="J22" i="4" s="1"/>
  <c r="G22" i="4"/>
  <c r="F22" i="4"/>
  <c r="I21" i="4"/>
  <c r="J21" i="4" s="1"/>
  <c r="G21" i="4"/>
  <c r="F21" i="4"/>
  <c r="I20" i="4"/>
  <c r="J20" i="4" s="1"/>
  <c r="G20" i="4"/>
  <c r="F20" i="4"/>
  <c r="I19" i="4"/>
  <c r="J19" i="4" s="1"/>
  <c r="G19" i="4"/>
  <c r="F19" i="4"/>
  <c r="I18" i="4"/>
  <c r="J18" i="4" s="1"/>
  <c r="G18" i="4"/>
  <c r="F18" i="4"/>
  <c r="I17" i="4"/>
  <c r="J17" i="4" s="1"/>
  <c r="G17" i="4"/>
  <c r="F17" i="4"/>
  <c r="I16" i="4"/>
  <c r="J16" i="4" s="1"/>
  <c r="G16" i="4"/>
  <c r="F16" i="4"/>
  <c r="I15" i="4"/>
  <c r="J15" i="4" s="1"/>
  <c r="G15" i="4"/>
  <c r="F15" i="4"/>
  <c r="I14" i="4"/>
  <c r="J14" i="4" s="1"/>
  <c r="G14" i="4"/>
  <c r="F14" i="4"/>
  <c r="I13" i="4"/>
  <c r="J13" i="4" s="1"/>
  <c r="G13" i="4"/>
  <c r="F13" i="4"/>
  <c r="I12" i="4"/>
  <c r="J12" i="4" s="1"/>
  <c r="G12" i="4"/>
  <c r="F12" i="4"/>
  <c r="I11" i="4"/>
  <c r="J11" i="4" s="1"/>
  <c r="G11" i="4"/>
  <c r="F11" i="4"/>
  <c r="I10" i="4"/>
  <c r="J10" i="4" s="1"/>
  <c r="G10" i="4"/>
  <c r="F10" i="4"/>
  <c r="I9" i="4"/>
  <c r="J9" i="4" s="1"/>
  <c r="G9" i="4"/>
  <c r="F9" i="4"/>
  <c r="I8" i="4"/>
  <c r="J8" i="4" s="1"/>
  <c r="G8" i="4"/>
  <c r="F8" i="4"/>
  <c r="I7" i="4"/>
  <c r="J7" i="4" s="1"/>
  <c r="G7" i="4"/>
  <c r="F7" i="4"/>
  <c r="I6" i="4"/>
  <c r="J6" i="4" s="1"/>
  <c r="G6" i="4"/>
  <c r="F6" i="4"/>
  <c r="I5" i="4"/>
  <c r="J5" i="4" s="1"/>
  <c r="G5" i="4"/>
  <c r="F5" i="4"/>
  <c r="I4" i="4"/>
  <c r="J4" i="4" s="1"/>
  <c r="G4" i="4"/>
  <c r="F4" i="4"/>
  <c r="I3" i="4"/>
  <c r="J3" i="4" s="1"/>
  <c r="G3" i="4"/>
  <c r="F3" i="4"/>
  <c r="I2" i="4"/>
  <c r="J2" i="4" s="1"/>
  <c r="G2" i="4"/>
  <c r="G24" i="4" s="1"/>
  <c r="C4" i="1" s="1"/>
  <c r="F2" i="4"/>
  <c r="C24" i="3"/>
  <c r="I16" i="3"/>
  <c r="J16" i="3" s="1"/>
  <c r="H16" i="3"/>
  <c r="G16" i="3"/>
  <c r="F16" i="3"/>
  <c r="B3" i="1" s="1"/>
  <c r="E3" i="1" s="1"/>
  <c r="F3" i="1" s="1"/>
  <c r="E16" i="3"/>
  <c r="D16" i="3"/>
  <c r="C16" i="3"/>
  <c r="I15" i="3"/>
  <c r="J15" i="3" s="1"/>
  <c r="G15" i="3"/>
  <c r="F15" i="3"/>
  <c r="I14" i="3"/>
  <c r="J14" i="3" s="1"/>
  <c r="G14" i="3"/>
  <c r="F14" i="3"/>
  <c r="I13" i="3"/>
  <c r="J13" i="3" s="1"/>
  <c r="G13" i="3"/>
  <c r="F13" i="3"/>
  <c r="I12" i="3"/>
  <c r="J12" i="3" s="1"/>
  <c r="G12" i="3"/>
  <c r="F12" i="3"/>
  <c r="I11" i="3"/>
  <c r="J11" i="3" s="1"/>
  <c r="G11" i="3"/>
  <c r="F11" i="3"/>
  <c r="I10" i="3"/>
  <c r="J10" i="3" s="1"/>
  <c r="G10" i="3"/>
  <c r="F10" i="3"/>
  <c r="I9" i="3"/>
  <c r="J9" i="3" s="1"/>
  <c r="G9" i="3"/>
  <c r="F9" i="3"/>
  <c r="I8" i="3"/>
  <c r="J8" i="3" s="1"/>
  <c r="G8" i="3"/>
  <c r="F8" i="3"/>
  <c r="I7" i="3"/>
  <c r="J7" i="3" s="1"/>
  <c r="G7" i="3"/>
  <c r="F7" i="3"/>
  <c r="I6" i="3"/>
  <c r="J6" i="3" s="1"/>
  <c r="G6" i="3"/>
  <c r="F6" i="3"/>
  <c r="I5" i="3"/>
  <c r="J5" i="3" s="1"/>
  <c r="G5" i="3"/>
  <c r="F5" i="3"/>
  <c r="I4" i="3"/>
  <c r="J4" i="3" s="1"/>
  <c r="G4" i="3"/>
  <c r="F4" i="3"/>
  <c r="I3" i="3"/>
  <c r="J3" i="3" s="1"/>
  <c r="G3" i="3"/>
  <c r="F3" i="3"/>
  <c r="I2" i="3"/>
  <c r="J2" i="3" s="1"/>
  <c r="G2" i="3"/>
  <c r="F2" i="3"/>
  <c r="H24" i="2"/>
  <c r="E24" i="2"/>
  <c r="D24" i="2"/>
  <c r="C24" i="2"/>
  <c r="G23" i="2"/>
  <c r="F23" i="2"/>
  <c r="I23" i="2" s="1"/>
  <c r="J23" i="2" s="1"/>
  <c r="G22" i="2"/>
  <c r="F22" i="2"/>
  <c r="I22" i="2" s="1"/>
  <c r="J22" i="2" s="1"/>
  <c r="G21" i="2"/>
  <c r="F21" i="2"/>
  <c r="I21" i="2" s="1"/>
  <c r="J21" i="2" s="1"/>
  <c r="G20" i="2"/>
  <c r="F20" i="2"/>
  <c r="I20" i="2" s="1"/>
  <c r="J20" i="2" s="1"/>
  <c r="G19" i="2"/>
  <c r="F19" i="2"/>
  <c r="I19" i="2" s="1"/>
  <c r="J19" i="2" s="1"/>
  <c r="G18" i="2"/>
  <c r="F18" i="2"/>
  <c r="I18" i="2" s="1"/>
  <c r="J18" i="2" s="1"/>
  <c r="G17" i="2"/>
  <c r="F17" i="2"/>
  <c r="I17" i="2" s="1"/>
  <c r="J17" i="2" s="1"/>
  <c r="G16" i="2"/>
  <c r="F16" i="2"/>
  <c r="I16" i="2" s="1"/>
  <c r="J16" i="2" s="1"/>
  <c r="G15" i="2"/>
  <c r="F15" i="2"/>
  <c r="I15" i="2" s="1"/>
  <c r="J15" i="2" s="1"/>
  <c r="J14" i="2"/>
  <c r="G14" i="2"/>
  <c r="F14" i="2"/>
  <c r="I14" i="2" s="1"/>
  <c r="J13" i="2"/>
  <c r="G13" i="2"/>
  <c r="F13" i="2"/>
  <c r="I13" i="2" s="1"/>
  <c r="G12" i="2"/>
  <c r="F12" i="2"/>
  <c r="I12" i="2" s="1"/>
  <c r="J12" i="2" s="1"/>
  <c r="G11" i="2"/>
  <c r="F11" i="2"/>
  <c r="I11" i="2" s="1"/>
  <c r="J11" i="2" s="1"/>
  <c r="J10" i="2"/>
  <c r="G10" i="2"/>
  <c r="F10" i="2"/>
  <c r="I10" i="2" s="1"/>
  <c r="J9" i="2"/>
  <c r="G9" i="2"/>
  <c r="F9" i="2"/>
  <c r="I9" i="2" s="1"/>
  <c r="G8" i="2"/>
  <c r="F8" i="2"/>
  <c r="I8" i="2" s="1"/>
  <c r="J8" i="2" s="1"/>
  <c r="G7" i="2"/>
  <c r="G24" i="2" s="1"/>
  <c r="C2" i="1" s="1"/>
  <c r="F7" i="2"/>
  <c r="I7" i="2" s="1"/>
  <c r="J7" i="2" s="1"/>
  <c r="J6" i="2"/>
  <c r="G6" i="2"/>
  <c r="F6" i="2"/>
  <c r="I6" i="2" s="1"/>
  <c r="J5" i="2"/>
  <c r="G5" i="2"/>
  <c r="F5" i="2"/>
  <c r="I5" i="2" s="1"/>
  <c r="G4" i="2"/>
  <c r="F4" i="2"/>
  <c r="I4" i="2" s="1"/>
  <c r="J4" i="2" s="1"/>
  <c r="G3" i="2"/>
  <c r="F3" i="2"/>
  <c r="I3" i="2" s="1"/>
  <c r="J3" i="2" s="1"/>
  <c r="J2" i="2"/>
  <c r="G2" i="2"/>
  <c r="F2" i="2"/>
  <c r="I2" i="2" s="1"/>
  <c r="C21" i="1"/>
  <c r="C17" i="1"/>
  <c r="C13" i="1"/>
  <c r="B4" i="1"/>
  <c r="E4" i="1" s="1"/>
  <c r="F4" i="1" s="1"/>
  <c r="D3" i="1"/>
  <c r="C3" i="1"/>
  <c r="D2" i="1"/>
  <c r="D5" i="1" s="1"/>
  <c r="F24" i="2" l="1"/>
  <c r="I24" i="2" s="1"/>
  <c r="J24" i="2" s="1"/>
  <c r="C5" i="1"/>
  <c r="I24" i="4"/>
  <c r="J24" i="4" s="1"/>
  <c r="B2" i="1"/>
  <c r="B5" i="1" l="1"/>
  <c r="E5" i="1" s="1"/>
  <c r="F5" i="1" s="1"/>
  <c r="E2" i="1"/>
  <c r="F2" i="1" s="1"/>
</calcChain>
</file>

<file path=xl/sharedStrings.xml><?xml version="1.0" encoding="utf-8"?>
<sst xmlns="http://schemas.openxmlformats.org/spreadsheetml/2006/main" count="244" uniqueCount="113">
  <si>
    <t>Aspek Penilaian</t>
  </si>
  <si>
    <t>Total Skor</t>
  </si>
  <si>
    <t>Rata-rata Skor</t>
  </si>
  <si>
    <t>Skor Maksimal</t>
  </si>
  <si>
    <t>Persentase</t>
  </si>
  <si>
    <t>Kriteria Validitas</t>
  </si>
  <si>
    <t>Ahli Materi</t>
  </si>
  <si>
    <t>Ahli Media</t>
  </si>
  <si>
    <t>Ahli Sistem</t>
  </si>
  <si>
    <t>RATA-RATA KESELURUHAN</t>
  </si>
  <si>
    <t>Nama Validator</t>
  </si>
  <si>
    <t>Aspek</t>
  </si>
  <si>
    <t>Keputusan Kelayakan</t>
  </si>
  <si>
    <t>Komentar/Saran</t>
  </si>
  <si>
    <t>Margaretha Karolina S</t>
  </si>
  <si>
    <t>Materi</t>
  </si>
  <si>
    <t>Layak digunakan dengan revisi</t>
  </si>
  <si>
    <t>Tambah penjelasan, cek kalimat, pastikan screenshot jelas</t>
  </si>
  <si>
    <t>Eko Indra Pangestu</t>
  </si>
  <si>
    <t>Layak digunakan tanpa revisi</t>
  </si>
  <si>
    <t>-</t>
  </si>
  <si>
    <t>Putut Aji Nalendro</t>
  </si>
  <si>
    <t>Beri pembatas header/content/footer &amp; gambar</t>
  </si>
  <si>
    <t>HASIL MAYORITAS KELAYAKAN</t>
  </si>
  <si>
    <t>Rafiqa Rizalita</t>
  </si>
  <si>
    <t>Media</t>
  </si>
  <si>
    <t>Bagus, bisa digunakan untuk penelitian</t>
  </si>
  <si>
    <t>Daniel Rinaldi</t>
  </si>
  <si>
    <t>Warna sebaiknya jangan gradasi</t>
  </si>
  <si>
    <t>Dwi Wahyudi</t>
  </si>
  <si>
    <t>Beri icon pada setiap tile layanan</t>
  </si>
  <si>
    <t>Ghea Chandra S</t>
  </si>
  <si>
    <t>Sistem</t>
  </si>
  <si>
    <t>Perbaikan saran</t>
  </si>
  <si>
    <t>Radinal Fadli</t>
  </si>
  <si>
    <t>Login SSO, perhatikan CSP (unsafe-eval/inline), atur CSP default</t>
  </si>
  <si>
    <t>Rahmad Wahyudi</t>
  </si>
  <si>
    <t>Tampilkan tombol kembali ke atas</t>
  </si>
  <si>
    <t>Indikator Penilaian</t>
  </si>
  <si>
    <t>Total Skor per Item</t>
  </si>
  <si>
    <t>Skor Maks</t>
  </si>
  <si>
    <t>Kesesuaian Tujuan dan Ruang Lingkup</t>
  </si>
  <si>
    <t>Kesesuaian tujuan panduan</t>
  </si>
  <si>
    <t>Kesesuaian sasaran pengguna</t>
  </si>
  <si>
    <t>Kesesuaian ruang lingkup</t>
  </si>
  <si>
    <t>Kesesuaian ruang lingkup (fokus)</t>
  </si>
  <si>
    <t>Akurasi dan Kelengkapan Isi</t>
  </si>
  <si>
    <t>Akurasi langkah penggunaan</t>
  </si>
  <si>
    <t>Akurasi fitur dan istilah</t>
  </si>
  <si>
    <t>Akurasi istilah konsisten</t>
  </si>
  <si>
    <t>Akurasi informasi layanan</t>
  </si>
  <si>
    <t>Kelengkapan tahapan</t>
  </si>
  <si>
    <t>Kelengkapan kondisi khusus</t>
  </si>
  <si>
    <t>Kelengkapan informasi tindakan</t>
  </si>
  <si>
    <t>Kelengkapan materi inti</t>
  </si>
  <si>
    <t>Keruntutan dan Kejelasan Penyajian</t>
  </si>
  <si>
    <t>Keruntutan penyajian</t>
  </si>
  <si>
    <t>Keruntutan antarbagian</t>
  </si>
  <si>
    <t>Transisi pembahasan</t>
  </si>
  <si>
    <t>Kejelasan bahasa</t>
  </si>
  <si>
    <t>Kejelasan instruksi</t>
  </si>
  <si>
    <t>Keringkasan penjelasan</t>
  </si>
  <si>
    <t>Kesesuaian Materi Pendukung</t>
  </si>
  <si>
    <t>Relevansi materi pendukung</t>
  </si>
  <si>
    <t>Kesesuaian ilustrasi</t>
  </si>
  <si>
    <t>Kejelasan fungsi ilustrasi</t>
  </si>
  <si>
    <t>Kesesuaian caption atau penjelas</t>
  </si>
  <si>
    <t>TOTAL KESELURUHAN</t>
  </si>
  <si>
    <t>HASIL KEPUTUSAN KELAYAKAN VALIDATOR</t>
  </si>
  <si>
    <t>Komentar / Saran</t>
  </si>
  <si>
    <t>KEPUTUSAN KELAYAKAN AKHIR (MAYORITAS)</t>
  </si>
  <si>
    <t>Tampilan Visual Website</t>
  </si>
  <si>
    <t>Kualitas tampilan website (rapi/menarik)</t>
  </si>
  <si>
    <t>Kualitas tampilan website (warna)</t>
  </si>
  <si>
    <t>Keterbacaan teks website (ukuran/huruf)</t>
  </si>
  <si>
    <t>Keterbacaan teks website (kontras)</t>
  </si>
  <si>
    <t>Konsistensi visual website (tata letak/ikon)</t>
  </si>
  <si>
    <t>Konsistensi visual website (pengenalan)</t>
  </si>
  <si>
    <t>UI/UX Website</t>
  </si>
  <si>
    <t>Kemudahan Navigasi</t>
  </si>
  <si>
    <t>Kejelasan Interaksi &amp; Media</t>
  </si>
  <si>
    <t>Kualitas Audio-Visual Sistem</t>
  </si>
  <si>
    <t>Umpan Balik Antarmuka</t>
  </si>
  <si>
    <t>Efisiensi Alur Pelayanan</t>
  </si>
  <si>
    <t>Kemudahan Penggunaan</t>
  </si>
  <si>
    <t>Kesesuaian dengan Target</t>
  </si>
  <si>
    <t>Konsistensi Pengalaman</t>
  </si>
  <si>
    <t>Fungsionalitas Sistem</t>
  </si>
  <si>
    <t>Fungsi autentikasi (login/verifikasi)</t>
  </si>
  <si>
    <t>Fungsi autentikasi (hak akses)</t>
  </si>
  <si>
    <t>Fungsi proses layanan (alur pengajuan)</t>
  </si>
  <si>
    <t>Fungsi proses layanan (form/berkas)</t>
  </si>
  <si>
    <t>Fungsi proses layanan (revisi/tindak lanjut)</t>
  </si>
  <si>
    <t>Kesesuaian fungsi inti</t>
  </si>
  <si>
    <t>Keandalan dan Validasi Sistem</t>
  </si>
  <si>
    <t>Keandalan proses (status riwayat)</t>
  </si>
  <si>
    <t>Keandalan proses (alur)</t>
  </si>
  <si>
    <t>Validasi input (form)</t>
  </si>
  <si>
    <t>Validasi input (unggah)</t>
  </si>
  <si>
    <t>Penanganan kesalahan</t>
  </si>
  <si>
    <t>Keandalan umum</t>
  </si>
  <si>
    <t>Keamanan Akses dan Data yang Teramati</t>
  </si>
  <si>
    <t>Keamanan akses (halaman)</t>
  </si>
  <si>
    <t>Keamanan akses (kewenangan)</t>
  </si>
  <si>
    <t>Keamanan sesi</t>
  </si>
  <si>
    <t>Keamanan data teramati</t>
  </si>
  <si>
    <t>Keamanan unggah dan berkas</t>
  </si>
  <si>
    <t>Kinerja Dasar Sistem</t>
  </si>
  <si>
    <t>Kecepatan respons (halaman utama)</t>
  </si>
  <si>
    <t>Kecepatan respons (transisi)</t>
  </si>
  <si>
    <t>Stabilitas akses</t>
  </si>
  <si>
    <t>Efisiensi penggunaan</t>
  </si>
  <si>
    <t>Kualitas interaksi sistem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</si>
</sst>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1"/>
      <color rgb="FF37562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65F91"/>
        <bgColor rgb="FF365F91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/>
    <xf numFmtId="0" fontId="2" fillId="0" borderId="1" xfId="0" applyFont="1" applyBorder="1" applyAlignment="1">
      <alignment horizontal="left" vertical="center" wrapText="1"/>
    </xf>
    <xf numFmtId="0" fontId="0" fillId="3" borderId="1" xfId="0" applyFill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0">
    <dxf>
      <font>
        <b/>
        <color rgb="FFC65911"/>
        <name val="Calibri"/>
      </font>
      <fill>
        <patternFill patternType="solid">
          <fgColor rgb="FFFCE4D6"/>
          <bgColor rgb="FFFCE4D6"/>
        </patternFill>
      </fill>
    </dxf>
    <dxf>
      <font>
        <b/>
        <color rgb="FFC65911"/>
        <name val="Calibri"/>
      </font>
      <fill>
        <patternFill patternType="solid">
          <fgColor rgb="FFFCE4D6"/>
          <bgColor rgb="FFFCE4D6"/>
        </patternFill>
      </fill>
    </dxf>
    <dxf>
      <font>
        <b/>
        <color rgb="FF7F6000"/>
        <name val="Calibri"/>
      </font>
      <fill>
        <patternFill patternType="solid">
          <fgColor rgb="FFFFF2CC"/>
          <bgColor rgb="FFFFF2CC"/>
        </patternFill>
      </fill>
    </dxf>
    <dxf>
      <font>
        <b/>
        <color rgb="FF1F4E78"/>
        <name val="Calibri"/>
      </font>
      <fill>
        <patternFill patternType="solid">
          <fgColor rgb="FFDDEBF7"/>
          <bgColor rgb="FFDDEBF7"/>
        </patternFill>
      </fill>
    </dxf>
    <dxf>
      <font>
        <b/>
        <color rgb="FF375623"/>
        <name val="Calibri"/>
      </font>
      <fill>
        <patternFill patternType="solid">
          <fgColor rgb="FFE2EFDA"/>
          <bgColor rgb="FFE2EFDA"/>
        </patternFill>
      </fill>
    </dxf>
    <dxf>
      <font>
        <b/>
        <color rgb="FFC65911"/>
        <name val="Calibri"/>
      </font>
      <fill>
        <patternFill patternType="solid">
          <fgColor rgb="FFFCE4D6"/>
          <bgColor rgb="FFFCE4D6"/>
        </patternFill>
      </fill>
    </dxf>
    <dxf>
      <font>
        <b/>
        <color rgb="FFC65911"/>
        <name val="Calibri"/>
      </font>
      <fill>
        <patternFill patternType="solid">
          <fgColor rgb="FFFCE4D6"/>
          <bgColor rgb="FFFCE4D6"/>
        </patternFill>
      </fill>
    </dxf>
    <dxf>
      <font>
        <b/>
        <color rgb="FF7F6000"/>
        <name val="Calibri"/>
      </font>
      <fill>
        <patternFill patternType="solid">
          <fgColor rgb="FFFFF2CC"/>
          <bgColor rgb="FFFFF2CC"/>
        </patternFill>
      </fill>
    </dxf>
    <dxf>
      <font>
        <b/>
        <color rgb="FF1F4E78"/>
        <name val="Calibri"/>
      </font>
      <fill>
        <patternFill patternType="solid">
          <fgColor rgb="FFDDEBF7"/>
          <bgColor rgb="FFDDEBF7"/>
        </patternFill>
      </fill>
    </dxf>
    <dxf>
      <font>
        <b/>
        <color rgb="FF375623"/>
        <name val="Calibri"/>
      </font>
      <fill>
        <patternFill patternType="solid">
          <fgColor rgb="FFE2EFDA"/>
          <bgColor rgb="FFE2EFDA"/>
        </patternFill>
      </fill>
    </dxf>
    <dxf>
      <font>
        <b/>
        <color rgb="FFC65911"/>
        <name val="Calibri"/>
      </font>
      <fill>
        <patternFill patternType="solid">
          <fgColor rgb="FFFCE4D6"/>
          <bgColor rgb="FFFCE4D6"/>
        </patternFill>
      </fill>
    </dxf>
    <dxf>
      <font>
        <b/>
        <color rgb="FFC65911"/>
        <name val="Calibri"/>
      </font>
      <fill>
        <patternFill patternType="solid">
          <fgColor rgb="FFFCE4D6"/>
          <bgColor rgb="FFFCE4D6"/>
        </patternFill>
      </fill>
    </dxf>
    <dxf>
      <font>
        <b/>
        <color rgb="FF7F6000"/>
        <name val="Calibri"/>
      </font>
      <fill>
        <patternFill patternType="solid">
          <fgColor rgb="FFFFF2CC"/>
          <bgColor rgb="FFFFF2CC"/>
        </patternFill>
      </fill>
    </dxf>
    <dxf>
      <font>
        <b/>
        <color rgb="FF1F4E78"/>
        <name val="Calibri"/>
      </font>
      <fill>
        <patternFill patternType="solid">
          <fgColor rgb="FFDDEBF7"/>
          <bgColor rgb="FFDDEBF7"/>
        </patternFill>
      </fill>
    </dxf>
    <dxf>
      <font>
        <b/>
        <color rgb="FF375623"/>
        <name val="Calibri"/>
      </font>
      <fill>
        <patternFill patternType="solid">
          <fgColor rgb="FFE2EFDA"/>
          <bgColor rgb="FFE2EFDA"/>
        </patternFill>
      </fill>
    </dxf>
    <dxf>
      <font>
        <b/>
        <color rgb="FFC65911"/>
        <name val="Calibri"/>
      </font>
      <fill>
        <patternFill patternType="solid">
          <fgColor rgb="FFFCE4D6"/>
          <bgColor rgb="FFFCE4D6"/>
        </patternFill>
      </fill>
    </dxf>
    <dxf>
      <font>
        <b/>
        <color rgb="FFC65911"/>
        <name val="Calibri"/>
      </font>
      <fill>
        <patternFill patternType="solid">
          <fgColor rgb="FFFCE4D6"/>
          <bgColor rgb="FFFCE4D6"/>
        </patternFill>
      </fill>
    </dxf>
    <dxf>
      <font>
        <b/>
        <color rgb="FF7F6000"/>
        <name val="Calibri"/>
      </font>
      <fill>
        <patternFill patternType="solid">
          <fgColor rgb="FFFFF2CC"/>
          <bgColor rgb="FFFFF2CC"/>
        </patternFill>
      </fill>
    </dxf>
    <dxf>
      <font>
        <b/>
        <color rgb="FF1F4E78"/>
        <name val="Calibri"/>
      </font>
      <fill>
        <patternFill patternType="solid">
          <fgColor rgb="FFDDEBF7"/>
          <bgColor rgb="FFDDEBF7"/>
        </patternFill>
      </fill>
    </dxf>
    <dxf>
      <font>
        <b/>
        <color rgb="FF375623"/>
        <name val="Calibri"/>
      </font>
      <fill>
        <patternFill patternType="solid">
          <fgColor rgb="FFE2EFDA"/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defaultRowHeight="15" x14ac:dyDescent="0.25"/>
  <cols>
    <col min="1" max="1" width="28" customWidth="1"/>
    <col min="2" max="2" width="18" customWidth="1"/>
    <col min="3" max="3" width="30" customWidth="1"/>
    <col min="4" max="4" width="55" customWidth="1"/>
    <col min="5" max="5" width="15" customWidth="1"/>
    <col min="6" max="6" width="1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>
        <f>'Validitas Materi'!F24</f>
        <v>315</v>
      </c>
      <c r="C2" s="3">
        <f>'Validitas Materi'!G24</f>
        <v>5</v>
      </c>
      <c r="D2" s="3">
        <f>'Validitas Materi'!H24</f>
        <v>330</v>
      </c>
      <c r="E2" s="4">
        <f>(B2/D2)*100</f>
        <v>95.454545454545453</v>
      </c>
      <c r="F2" s="3" t="str">
        <f>IF(E2&gt;=81,"Sangat Valid",IF(E2&gt;=61,"Valid",IF(E2&gt;=41,"Cukup Valid",IF(E2&gt;=21,"Kurang Valid","Tidak Valid"))))</f>
        <v>Sangat Valid</v>
      </c>
    </row>
    <row r="3" spans="1:6" x14ac:dyDescent="0.25">
      <c r="A3" s="2" t="s">
        <v>7</v>
      </c>
      <c r="B3" s="3">
        <f>'Validitas Media'!F16</f>
        <v>196</v>
      </c>
      <c r="C3" s="3">
        <f>'Validitas Media'!G16</f>
        <v>5</v>
      </c>
      <c r="D3" s="3">
        <f>'Validitas Media'!H16</f>
        <v>210</v>
      </c>
      <c r="E3" s="4">
        <f>(B3/D3)*100</f>
        <v>93.333333333333329</v>
      </c>
      <c r="F3" s="3" t="str">
        <f>IF(E3&gt;=81,"Sangat Valid",IF(E3&gt;=61,"Valid",IF(E3&gt;=41,"Cukup Valid",IF(E3&gt;=21,"Kurang Valid","Tidak Valid"))))</f>
        <v>Sangat Valid</v>
      </c>
    </row>
    <row r="4" spans="1:6" x14ac:dyDescent="0.25">
      <c r="A4" s="2" t="s">
        <v>8</v>
      </c>
      <c r="B4" s="3">
        <f>'Validitas Sistem'!F24</f>
        <v>289</v>
      </c>
      <c r="C4" s="3">
        <f>'Validitas Sistem'!G24</f>
        <v>4</v>
      </c>
      <c r="D4" s="3">
        <f>'Validitas Sistem'!H24</f>
        <v>330</v>
      </c>
      <c r="E4" s="4">
        <f>(B4/D4)*100</f>
        <v>87.575757575757578</v>
      </c>
      <c r="F4" s="3" t="str">
        <f>IF(E4&gt;=81,"Sangat Valid",IF(E4&gt;=61,"Valid",IF(E4&gt;=41,"Cukup Valid",IF(E4&gt;=21,"Kurang Valid","Tidak Valid"))))</f>
        <v>Sangat Valid</v>
      </c>
    </row>
    <row r="5" spans="1:6" x14ac:dyDescent="0.25">
      <c r="A5" s="5" t="s">
        <v>9</v>
      </c>
      <c r="B5" s="6">
        <f>SUM(B2:B4)</f>
        <v>800</v>
      </c>
      <c r="C5" s="6">
        <f>ROUND(AVERAGE(C2:C4),0)</f>
        <v>5</v>
      </c>
      <c r="D5" s="6">
        <f>SUM(D2:D4)</f>
        <v>870</v>
      </c>
      <c r="E5" s="7">
        <f>(B5/D5)*100</f>
        <v>91.954022988505741</v>
      </c>
      <c r="F5" s="6" t="str">
        <f>IF(E5&gt;=81,"Sangat Valid",IF(E5&gt;=61,"Valid",IF(E5&gt;=41,"Cukup Valid",IF(E5&gt;=21,"Kurang Valid","Tidak Valid"))))</f>
        <v>Sangat Valid</v>
      </c>
    </row>
    <row r="9" spans="1:6" x14ac:dyDescent="0.25">
      <c r="A9" s="1" t="s">
        <v>10</v>
      </c>
      <c r="B9" s="1" t="s">
        <v>11</v>
      </c>
      <c r="C9" s="1" t="s">
        <v>12</v>
      </c>
      <c r="D9" s="1" t="s">
        <v>13</v>
      </c>
    </row>
    <row r="10" spans="1:6" x14ac:dyDescent="0.25">
      <c r="A10" s="3" t="s">
        <v>14</v>
      </c>
      <c r="B10" s="3" t="s">
        <v>15</v>
      </c>
      <c r="C10" s="3" t="s">
        <v>16</v>
      </c>
      <c r="D10" s="2" t="s">
        <v>17</v>
      </c>
    </row>
    <row r="11" spans="1:6" x14ac:dyDescent="0.25">
      <c r="A11" s="3" t="s">
        <v>18</v>
      </c>
      <c r="B11" s="3" t="s">
        <v>15</v>
      </c>
      <c r="C11" s="3" t="s">
        <v>19</v>
      </c>
      <c r="D11" s="2" t="s">
        <v>20</v>
      </c>
    </row>
    <row r="12" spans="1:6" x14ac:dyDescent="0.25">
      <c r="A12" s="3" t="s">
        <v>21</v>
      </c>
      <c r="B12" s="3" t="s">
        <v>15</v>
      </c>
      <c r="C12" s="3" t="s">
        <v>19</v>
      </c>
      <c r="D12" s="2" t="s">
        <v>22</v>
      </c>
    </row>
    <row r="13" spans="1:6" x14ac:dyDescent="0.25">
      <c r="A13" s="8" t="s">
        <v>23</v>
      </c>
      <c r="B13" s="9"/>
      <c r="C13" s="10" t="str">
        <f>IF(C10=C11,C10,IF(C11=C12,C11,IF(C10=C12,C10,"Draw")))</f>
        <v>Layak digunakan tanpa revisi</v>
      </c>
      <c r="D13" s="11"/>
    </row>
    <row r="14" spans="1:6" x14ac:dyDescent="0.25">
      <c r="A14" s="3" t="s">
        <v>24</v>
      </c>
      <c r="B14" s="3" t="s">
        <v>25</v>
      </c>
      <c r="C14" s="3" t="s">
        <v>19</v>
      </c>
      <c r="D14" s="2" t="s">
        <v>26</v>
      </c>
    </row>
    <row r="15" spans="1:6" x14ac:dyDescent="0.25">
      <c r="A15" s="3" t="s">
        <v>27</v>
      </c>
      <c r="B15" s="3" t="s">
        <v>25</v>
      </c>
      <c r="C15" s="3" t="s">
        <v>19</v>
      </c>
      <c r="D15" s="2" t="s">
        <v>28</v>
      </c>
    </row>
    <row r="16" spans="1:6" x14ac:dyDescent="0.25">
      <c r="A16" s="3" t="s">
        <v>29</v>
      </c>
      <c r="B16" s="3" t="s">
        <v>25</v>
      </c>
      <c r="C16" s="3" t="s">
        <v>16</v>
      </c>
      <c r="D16" s="2" t="s">
        <v>30</v>
      </c>
    </row>
    <row r="17" spans="1:4" x14ac:dyDescent="0.25">
      <c r="A17" s="8" t="s">
        <v>23</v>
      </c>
      <c r="B17" s="9"/>
      <c r="C17" s="10" t="str">
        <f>IF(C14=C15,C14,IF(C15=C16,C15,IF(C14=C16,C14,"Draw")))</f>
        <v>Layak digunakan tanpa revisi</v>
      </c>
      <c r="D17" s="11"/>
    </row>
    <row r="18" spans="1:4" x14ac:dyDescent="0.25">
      <c r="A18" s="3" t="s">
        <v>31</v>
      </c>
      <c r="B18" s="3" t="s">
        <v>32</v>
      </c>
      <c r="C18" s="3" t="s">
        <v>19</v>
      </c>
      <c r="D18" s="2" t="s">
        <v>33</v>
      </c>
    </row>
    <row r="19" spans="1:4" ht="30" x14ac:dyDescent="0.25">
      <c r="A19" s="3" t="s">
        <v>34</v>
      </c>
      <c r="B19" s="3" t="s">
        <v>32</v>
      </c>
      <c r="C19" s="3" t="s">
        <v>16</v>
      </c>
      <c r="D19" s="2" t="s">
        <v>35</v>
      </c>
    </row>
    <row r="20" spans="1:4" x14ac:dyDescent="0.25">
      <c r="A20" s="3" t="s">
        <v>36</v>
      </c>
      <c r="B20" s="3" t="s">
        <v>32</v>
      </c>
      <c r="C20" s="3" t="s">
        <v>19</v>
      </c>
      <c r="D20" s="2" t="s">
        <v>37</v>
      </c>
    </row>
    <row r="21" spans="1:4" x14ac:dyDescent="0.25">
      <c r="A21" s="8" t="s">
        <v>23</v>
      </c>
      <c r="B21" s="9"/>
      <c r="C21" s="10" t="str">
        <f>IF(C18=C19,C18,IF(C19=C20,C19,IF(C18=C20,C18,"Draw")))</f>
        <v>Layak digunakan tanpa revisi</v>
      </c>
      <c r="D21" s="11"/>
    </row>
  </sheetData>
  <mergeCells count="6">
    <mergeCell ref="A21:B21"/>
    <mergeCell ref="C21:D21"/>
    <mergeCell ref="A13:B13"/>
    <mergeCell ref="C13:D13"/>
    <mergeCell ref="A17:B17"/>
    <mergeCell ref="C17:D17"/>
  </mergeCells>
  <conditionalFormatting sqref="F2:F5">
    <cfRule type="cellIs" dxfId="19" priority="1" stopIfTrue="1" operator="equal">
      <formula>"Sangat Valid"</formula>
    </cfRule>
    <cfRule type="cellIs" dxfId="18" priority="2" stopIfTrue="1" operator="equal">
      <formula>"Valid"</formula>
    </cfRule>
    <cfRule type="cellIs" dxfId="17" priority="3" stopIfTrue="1" operator="equal">
      <formula>"Cukup Valid"</formula>
    </cfRule>
    <cfRule type="cellIs" dxfId="16" priority="4" stopIfTrue="1" operator="equal">
      <formula>"Kurang Valid"</formula>
    </cfRule>
    <cfRule type="cellIs" dxfId="15" priority="5" stopIfTrue="1" operator="equal">
      <formula>"Tidak Valid"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workbookViewId="0">
      <pane xSplit="2" ySplit="1" topLeftCell="C33" activePane="bottomRight" state="frozen"/>
      <selection pane="topRight"/>
      <selection pane="bottomLeft"/>
      <selection pane="bottomRight" activeCell="F11" sqref="F11"/>
    </sheetView>
  </sheetViews>
  <sheetFormatPr defaultRowHeight="15" x14ac:dyDescent="0.25"/>
  <cols>
    <col min="1" max="1" width="28" customWidth="1"/>
    <col min="2" max="2" width="45" customWidth="1"/>
    <col min="3" max="10" width="15" customWidth="1"/>
  </cols>
  <sheetData>
    <row r="1" spans="1:10" ht="30" x14ac:dyDescent="0.25">
      <c r="A1" s="1" t="s">
        <v>0</v>
      </c>
      <c r="B1" s="1" t="s">
        <v>38</v>
      </c>
      <c r="C1" s="1" t="s">
        <v>14</v>
      </c>
      <c r="D1" s="1" t="s">
        <v>18</v>
      </c>
      <c r="E1" s="1" t="s">
        <v>21</v>
      </c>
      <c r="F1" s="1" t="s">
        <v>39</v>
      </c>
      <c r="G1" s="1" t="s">
        <v>2</v>
      </c>
      <c r="H1" s="1" t="s">
        <v>40</v>
      </c>
      <c r="I1" s="1" t="s">
        <v>4</v>
      </c>
      <c r="J1" s="1" t="s">
        <v>5</v>
      </c>
    </row>
    <row r="2" spans="1:10" ht="30" x14ac:dyDescent="0.25">
      <c r="A2" s="2" t="s">
        <v>41</v>
      </c>
      <c r="B2" s="2" t="s">
        <v>42</v>
      </c>
      <c r="C2" s="3">
        <v>5</v>
      </c>
      <c r="D2" s="3">
        <v>5</v>
      </c>
      <c r="E2" s="3">
        <v>5</v>
      </c>
      <c r="F2" s="3">
        <f t="shared" ref="F2:F23" si="0">SUM(C2:E2)</f>
        <v>15</v>
      </c>
      <c r="G2" s="3">
        <f t="shared" ref="G2:G23" si="1">ROUND(AVERAGE(C2:E2), 0)</f>
        <v>5</v>
      </c>
      <c r="H2" s="3">
        <v>15</v>
      </c>
      <c r="I2" s="4">
        <f t="shared" ref="I2:I24" si="2">(F2/H2)*100</f>
        <v>100</v>
      </c>
      <c r="J2" s="3" t="str">
        <f t="shared" ref="J2:J24" si="3">IF(I2&gt;=81,"Sangat Valid",IF(I2&gt;=61,"Valid",IF(I2&gt;=41,"Cukup Valid",IF(I2&gt;=21,"Kurang Valid","Tidak Valid"))))</f>
        <v>Sangat Valid</v>
      </c>
    </row>
    <row r="3" spans="1:10" ht="30" x14ac:dyDescent="0.25">
      <c r="A3" s="2" t="s">
        <v>41</v>
      </c>
      <c r="B3" s="2" t="s">
        <v>43</v>
      </c>
      <c r="C3" s="3">
        <v>5</v>
      </c>
      <c r="D3" s="3">
        <v>5</v>
      </c>
      <c r="E3" s="3">
        <v>5</v>
      </c>
      <c r="F3" s="3">
        <f t="shared" si="0"/>
        <v>15</v>
      </c>
      <c r="G3" s="3">
        <f t="shared" si="1"/>
        <v>5</v>
      </c>
      <c r="H3" s="3">
        <v>15</v>
      </c>
      <c r="I3" s="4">
        <f t="shared" si="2"/>
        <v>100</v>
      </c>
      <c r="J3" s="3" t="str">
        <f t="shared" si="3"/>
        <v>Sangat Valid</v>
      </c>
    </row>
    <row r="4" spans="1:10" ht="30" x14ac:dyDescent="0.25">
      <c r="A4" s="2" t="s">
        <v>41</v>
      </c>
      <c r="B4" s="2" t="s">
        <v>44</v>
      </c>
      <c r="C4" s="3">
        <v>5</v>
      </c>
      <c r="D4" s="3">
        <v>5</v>
      </c>
      <c r="E4" s="3">
        <v>5</v>
      </c>
      <c r="F4" s="3">
        <f t="shared" si="0"/>
        <v>15</v>
      </c>
      <c r="G4" s="3">
        <f t="shared" si="1"/>
        <v>5</v>
      </c>
      <c r="H4" s="3">
        <v>15</v>
      </c>
      <c r="I4" s="4">
        <f t="shared" si="2"/>
        <v>100</v>
      </c>
      <c r="J4" s="3" t="str">
        <f t="shared" si="3"/>
        <v>Sangat Valid</v>
      </c>
    </row>
    <row r="5" spans="1:10" ht="30" x14ac:dyDescent="0.25">
      <c r="A5" s="2" t="s">
        <v>41</v>
      </c>
      <c r="B5" s="2" t="s">
        <v>45</v>
      </c>
      <c r="C5" s="3">
        <v>5</v>
      </c>
      <c r="D5" s="3">
        <v>4</v>
      </c>
      <c r="E5" s="3">
        <v>5</v>
      </c>
      <c r="F5" s="3">
        <f t="shared" si="0"/>
        <v>14</v>
      </c>
      <c r="G5" s="3">
        <f t="shared" si="1"/>
        <v>5</v>
      </c>
      <c r="H5" s="3">
        <v>15</v>
      </c>
      <c r="I5" s="4">
        <f t="shared" si="2"/>
        <v>93.333333333333329</v>
      </c>
      <c r="J5" s="3" t="str">
        <f t="shared" si="3"/>
        <v>Sangat Valid</v>
      </c>
    </row>
    <row r="6" spans="1:10" x14ac:dyDescent="0.25">
      <c r="A6" s="2" t="s">
        <v>46</v>
      </c>
      <c r="B6" s="2" t="s">
        <v>47</v>
      </c>
      <c r="C6" s="3">
        <v>5</v>
      </c>
      <c r="D6" s="3">
        <v>5</v>
      </c>
      <c r="E6" s="3">
        <v>5</v>
      </c>
      <c r="F6" s="3">
        <f t="shared" si="0"/>
        <v>15</v>
      </c>
      <c r="G6" s="3">
        <f t="shared" si="1"/>
        <v>5</v>
      </c>
      <c r="H6" s="3">
        <v>15</v>
      </c>
      <c r="I6" s="4">
        <f t="shared" si="2"/>
        <v>100</v>
      </c>
      <c r="J6" s="3" t="str">
        <f t="shared" si="3"/>
        <v>Sangat Valid</v>
      </c>
    </row>
    <row r="7" spans="1:10" x14ac:dyDescent="0.25">
      <c r="A7" s="2" t="s">
        <v>46</v>
      </c>
      <c r="B7" s="2" t="s">
        <v>48</v>
      </c>
      <c r="C7" s="3">
        <v>4</v>
      </c>
      <c r="D7" s="3">
        <v>4</v>
      </c>
      <c r="E7" s="3">
        <v>5</v>
      </c>
      <c r="F7" s="3">
        <f t="shared" si="0"/>
        <v>13</v>
      </c>
      <c r="G7" s="3">
        <f t="shared" si="1"/>
        <v>4</v>
      </c>
      <c r="H7" s="3">
        <v>15</v>
      </c>
      <c r="I7" s="4">
        <f t="shared" si="2"/>
        <v>86.666666666666671</v>
      </c>
      <c r="J7" s="3" t="str">
        <f t="shared" si="3"/>
        <v>Sangat Valid</v>
      </c>
    </row>
    <row r="8" spans="1:10" x14ac:dyDescent="0.25">
      <c r="A8" s="2" t="s">
        <v>46</v>
      </c>
      <c r="B8" s="2" t="s">
        <v>49</v>
      </c>
      <c r="C8" s="3">
        <v>5</v>
      </c>
      <c r="D8" s="3">
        <v>5</v>
      </c>
      <c r="E8" s="3">
        <v>4</v>
      </c>
      <c r="F8" s="3">
        <f t="shared" si="0"/>
        <v>14</v>
      </c>
      <c r="G8" s="3">
        <f t="shared" si="1"/>
        <v>5</v>
      </c>
      <c r="H8" s="3">
        <v>15</v>
      </c>
      <c r="I8" s="4">
        <f t="shared" si="2"/>
        <v>93.333333333333329</v>
      </c>
      <c r="J8" s="3" t="str">
        <f t="shared" si="3"/>
        <v>Sangat Valid</v>
      </c>
    </row>
    <row r="9" spans="1:10" x14ac:dyDescent="0.25">
      <c r="A9" s="2" t="s">
        <v>46</v>
      </c>
      <c r="B9" s="2" t="s">
        <v>50</v>
      </c>
      <c r="C9" s="3">
        <v>5</v>
      </c>
      <c r="D9" s="3">
        <v>5</v>
      </c>
      <c r="E9" s="3">
        <v>5</v>
      </c>
      <c r="F9" s="3">
        <f t="shared" si="0"/>
        <v>15</v>
      </c>
      <c r="G9" s="3">
        <f t="shared" si="1"/>
        <v>5</v>
      </c>
      <c r="H9" s="3">
        <v>15</v>
      </c>
      <c r="I9" s="4">
        <f t="shared" si="2"/>
        <v>100</v>
      </c>
      <c r="J9" s="3" t="str">
        <f t="shared" si="3"/>
        <v>Sangat Valid</v>
      </c>
    </row>
    <row r="10" spans="1:10" x14ac:dyDescent="0.25">
      <c r="A10" s="2" t="s">
        <v>46</v>
      </c>
      <c r="B10" s="2" t="s">
        <v>51</v>
      </c>
      <c r="C10" s="3">
        <v>5</v>
      </c>
      <c r="D10" s="3">
        <v>5</v>
      </c>
      <c r="E10" s="3">
        <v>4</v>
      </c>
      <c r="F10" s="3">
        <f t="shared" si="0"/>
        <v>14</v>
      </c>
      <c r="G10" s="3">
        <f t="shared" si="1"/>
        <v>5</v>
      </c>
      <c r="H10" s="3">
        <v>15</v>
      </c>
      <c r="I10" s="4">
        <f t="shared" si="2"/>
        <v>93.333333333333329</v>
      </c>
      <c r="J10" s="3" t="str">
        <f t="shared" si="3"/>
        <v>Sangat Valid</v>
      </c>
    </row>
    <row r="11" spans="1:10" x14ac:dyDescent="0.25">
      <c r="A11" s="2" t="s">
        <v>46</v>
      </c>
      <c r="B11" s="2" t="s">
        <v>52</v>
      </c>
      <c r="C11" s="3">
        <v>4</v>
      </c>
      <c r="D11" s="3">
        <v>4</v>
      </c>
      <c r="E11" s="3">
        <v>4</v>
      </c>
      <c r="F11" s="3">
        <f t="shared" si="0"/>
        <v>12</v>
      </c>
      <c r="G11" s="3">
        <f t="shared" si="1"/>
        <v>4</v>
      </c>
      <c r="H11" s="3">
        <v>15</v>
      </c>
      <c r="I11" s="4">
        <f t="shared" si="2"/>
        <v>80</v>
      </c>
      <c r="J11" s="3" t="str">
        <f t="shared" si="3"/>
        <v>Valid</v>
      </c>
    </row>
    <row r="12" spans="1:10" x14ac:dyDescent="0.25">
      <c r="A12" s="2" t="s">
        <v>46</v>
      </c>
      <c r="B12" s="2" t="s">
        <v>53</v>
      </c>
      <c r="C12" s="3">
        <v>5</v>
      </c>
      <c r="D12" s="3">
        <v>4</v>
      </c>
      <c r="E12" s="3">
        <v>5</v>
      </c>
      <c r="F12" s="3">
        <f t="shared" si="0"/>
        <v>14</v>
      </c>
      <c r="G12" s="3">
        <f t="shared" si="1"/>
        <v>5</v>
      </c>
      <c r="H12" s="3">
        <v>15</v>
      </c>
      <c r="I12" s="4">
        <f t="shared" si="2"/>
        <v>93.333333333333329</v>
      </c>
      <c r="J12" s="3" t="str">
        <f t="shared" si="3"/>
        <v>Sangat Valid</v>
      </c>
    </row>
    <row r="13" spans="1:10" x14ac:dyDescent="0.25">
      <c r="A13" s="2" t="s">
        <v>46</v>
      </c>
      <c r="B13" s="2" t="s">
        <v>54</v>
      </c>
      <c r="C13" s="3">
        <v>5</v>
      </c>
      <c r="D13" s="3">
        <v>4</v>
      </c>
      <c r="E13" s="3">
        <v>5</v>
      </c>
      <c r="F13" s="3">
        <f t="shared" si="0"/>
        <v>14</v>
      </c>
      <c r="G13" s="3">
        <f t="shared" si="1"/>
        <v>5</v>
      </c>
      <c r="H13" s="3">
        <v>15</v>
      </c>
      <c r="I13" s="4">
        <f t="shared" si="2"/>
        <v>93.333333333333329</v>
      </c>
      <c r="J13" s="3" t="str">
        <f t="shared" si="3"/>
        <v>Sangat Valid</v>
      </c>
    </row>
    <row r="14" spans="1:10" ht="30" x14ac:dyDescent="0.25">
      <c r="A14" s="2" t="s">
        <v>55</v>
      </c>
      <c r="B14" s="2" t="s">
        <v>56</v>
      </c>
      <c r="C14" s="3">
        <v>5</v>
      </c>
      <c r="D14" s="3">
        <v>5</v>
      </c>
      <c r="E14" s="3">
        <v>5</v>
      </c>
      <c r="F14" s="3">
        <f t="shared" si="0"/>
        <v>15</v>
      </c>
      <c r="G14" s="3">
        <f t="shared" si="1"/>
        <v>5</v>
      </c>
      <c r="H14" s="3">
        <v>15</v>
      </c>
      <c r="I14" s="4">
        <f t="shared" si="2"/>
        <v>100</v>
      </c>
      <c r="J14" s="3" t="str">
        <f t="shared" si="3"/>
        <v>Sangat Valid</v>
      </c>
    </row>
    <row r="15" spans="1:10" ht="30" x14ac:dyDescent="0.25">
      <c r="A15" s="2" t="s">
        <v>55</v>
      </c>
      <c r="B15" s="2" t="s">
        <v>57</v>
      </c>
      <c r="C15" s="3">
        <v>5</v>
      </c>
      <c r="D15" s="3">
        <v>5</v>
      </c>
      <c r="E15" s="3">
        <v>5</v>
      </c>
      <c r="F15" s="3">
        <f t="shared" si="0"/>
        <v>15</v>
      </c>
      <c r="G15" s="3">
        <f t="shared" si="1"/>
        <v>5</v>
      </c>
      <c r="H15" s="3">
        <v>15</v>
      </c>
      <c r="I15" s="4">
        <f t="shared" si="2"/>
        <v>100</v>
      </c>
      <c r="J15" s="3" t="str">
        <f t="shared" si="3"/>
        <v>Sangat Valid</v>
      </c>
    </row>
    <row r="16" spans="1:10" ht="30" x14ac:dyDescent="0.25">
      <c r="A16" s="2" t="s">
        <v>55</v>
      </c>
      <c r="B16" s="2" t="s">
        <v>58</v>
      </c>
      <c r="C16" s="3">
        <v>5</v>
      </c>
      <c r="D16" s="3">
        <v>4</v>
      </c>
      <c r="E16" s="3">
        <v>5</v>
      </c>
      <c r="F16" s="3">
        <f t="shared" si="0"/>
        <v>14</v>
      </c>
      <c r="G16" s="3">
        <f t="shared" si="1"/>
        <v>5</v>
      </c>
      <c r="H16" s="3">
        <v>15</v>
      </c>
      <c r="I16" s="4">
        <f t="shared" si="2"/>
        <v>93.333333333333329</v>
      </c>
      <c r="J16" s="3" t="str">
        <f t="shared" si="3"/>
        <v>Sangat Valid</v>
      </c>
    </row>
    <row r="17" spans="1:10" ht="30" x14ac:dyDescent="0.25">
      <c r="A17" s="2" t="s">
        <v>55</v>
      </c>
      <c r="B17" s="2" t="s">
        <v>59</v>
      </c>
      <c r="C17" s="3">
        <v>5</v>
      </c>
      <c r="D17" s="3">
        <v>5</v>
      </c>
      <c r="E17" s="3">
        <v>4</v>
      </c>
      <c r="F17" s="3">
        <f t="shared" si="0"/>
        <v>14</v>
      </c>
      <c r="G17" s="3">
        <f t="shared" si="1"/>
        <v>5</v>
      </c>
      <c r="H17" s="3">
        <v>15</v>
      </c>
      <c r="I17" s="4">
        <f t="shared" si="2"/>
        <v>93.333333333333329</v>
      </c>
      <c r="J17" s="3" t="str">
        <f t="shared" si="3"/>
        <v>Sangat Valid</v>
      </c>
    </row>
    <row r="18" spans="1:10" ht="30" x14ac:dyDescent="0.25">
      <c r="A18" s="2" t="s">
        <v>55</v>
      </c>
      <c r="B18" s="2" t="s">
        <v>60</v>
      </c>
      <c r="C18" s="3">
        <v>4</v>
      </c>
      <c r="D18" s="3">
        <v>5</v>
      </c>
      <c r="E18" s="3">
        <v>5</v>
      </c>
      <c r="F18" s="3">
        <f t="shared" si="0"/>
        <v>14</v>
      </c>
      <c r="G18" s="3">
        <f t="shared" si="1"/>
        <v>5</v>
      </c>
      <c r="H18" s="3">
        <v>15</v>
      </c>
      <c r="I18" s="4">
        <f t="shared" si="2"/>
        <v>93.333333333333329</v>
      </c>
      <c r="J18" s="3" t="str">
        <f t="shared" si="3"/>
        <v>Sangat Valid</v>
      </c>
    </row>
    <row r="19" spans="1:10" ht="30" x14ac:dyDescent="0.25">
      <c r="A19" s="2" t="s">
        <v>55</v>
      </c>
      <c r="B19" s="2" t="s">
        <v>61</v>
      </c>
      <c r="C19" s="3">
        <v>5</v>
      </c>
      <c r="D19" s="3">
        <v>5</v>
      </c>
      <c r="E19" s="3">
        <v>5</v>
      </c>
      <c r="F19" s="3">
        <f t="shared" si="0"/>
        <v>15</v>
      </c>
      <c r="G19" s="3">
        <f t="shared" si="1"/>
        <v>5</v>
      </c>
      <c r="H19" s="3">
        <v>15</v>
      </c>
      <c r="I19" s="4">
        <f t="shared" si="2"/>
        <v>100</v>
      </c>
      <c r="J19" s="3" t="str">
        <f t="shared" si="3"/>
        <v>Sangat Valid</v>
      </c>
    </row>
    <row r="20" spans="1:10" ht="30" x14ac:dyDescent="0.25">
      <c r="A20" s="2" t="s">
        <v>62</v>
      </c>
      <c r="B20" s="2" t="s">
        <v>63</v>
      </c>
      <c r="C20" s="3">
        <v>5</v>
      </c>
      <c r="D20" s="3">
        <v>5</v>
      </c>
      <c r="E20" s="3">
        <v>4</v>
      </c>
      <c r="F20" s="3">
        <f t="shared" si="0"/>
        <v>14</v>
      </c>
      <c r="G20" s="3">
        <f t="shared" si="1"/>
        <v>5</v>
      </c>
      <c r="H20" s="3">
        <v>15</v>
      </c>
      <c r="I20" s="4">
        <f t="shared" si="2"/>
        <v>93.333333333333329</v>
      </c>
      <c r="J20" s="3" t="str">
        <f t="shared" si="3"/>
        <v>Sangat Valid</v>
      </c>
    </row>
    <row r="21" spans="1:10" ht="30" x14ac:dyDescent="0.25">
      <c r="A21" s="2" t="s">
        <v>62</v>
      </c>
      <c r="B21" s="2" t="s">
        <v>64</v>
      </c>
      <c r="C21" s="3">
        <v>4</v>
      </c>
      <c r="D21" s="3">
        <v>5</v>
      </c>
      <c r="E21" s="3">
        <v>5</v>
      </c>
      <c r="F21" s="3">
        <f t="shared" si="0"/>
        <v>14</v>
      </c>
      <c r="G21" s="3">
        <f t="shared" si="1"/>
        <v>5</v>
      </c>
      <c r="H21" s="3">
        <v>15</v>
      </c>
      <c r="I21" s="4">
        <f t="shared" si="2"/>
        <v>93.333333333333329</v>
      </c>
      <c r="J21" s="3" t="str">
        <f t="shared" si="3"/>
        <v>Sangat Valid</v>
      </c>
    </row>
    <row r="22" spans="1:10" ht="30" x14ac:dyDescent="0.25">
      <c r="A22" s="2" t="s">
        <v>62</v>
      </c>
      <c r="B22" s="2" t="s">
        <v>65</v>
      </c>
      <c r="C22" s="3">
        <v>5</v>
      </c>
      <c r="D22" s="3">
        <v>5</v>
      </c>
      <c r="E22" s="3">
        <v>5</v>
      </c>
      <c r="F22" s="3">
        <f t="shared" si="0"/>
        <v>15</v>
      </c>
      <c r="G22" s="3">
        <f t="shared" si="1"/>
        <v>5</v>
      </c>
      <c r="H22" s="3">
        <v>15</v>
      </c>
      <c r="I22" s="4">
        <f t="shared" si="2"/>
        <v>100</v>
      </c>
      <c r="J22" s="3" t="str">
        <f t="shared" si="3"/>
        <v>Sangat Valid</v>
      </c>
    </row>
    <row r="23" spans="1:10" ht="30" x14ac:dyDescent="0.25">
      <c r="A23" s="2" t="s">
        <v>62</v>
      </c>
      <c r="B23" s="2" t="s">
        <v>66</v>
      </c>
      <c r="C23" s="3">
        <v>5</v>
      </c>
      <c r="D23" s="3">
        <v>5</v>
      </c>
      <c r="E23" s="3">
        <v>5</v>
      </c>
      <c r="F23" s="3">
        <f t="shared" si="0"/>
        <v>15</v>
      </c>
      <c r="G23" s="3">
        <f t="shared" si="1"/>
        <v>5</v>
      </c>
      <c r="H23" s="3">
        <v>15</v>
      </c>
      <c r="I23" s="4">
        <f t="shared" si="2"/>
        <v>100</v>
      </c>
      <c r="J23" s="3" t="str">
        <f t="shared" si="3"/>
        <v>Sangat Valid</v>
      </c>
    </row>
    <row r="24" spans="1:10" x14ac:dyDescent="0.25">
      <c r="A24" s="12" t="s">
        <v>67</v>
      </c>
      <c r="B24" s="13"/>
      <c r="C24" s="6">
        <f>SUM(C2:C23)</f>
        <v>106</v>
      </c>
      <c r="D24" s="6">
        <f>SUM(D2:D23)</f>
        <v>104</v>
      </c>
      <c r="E24" s="6">
        <f>SUM(E2:E23)</f>
        <v>105</v>
      </c>
      <c r="F24" s="6">
        <f>SUM(F2:F23)</f>
        <v>315</v>
      </c>
      <c r="G24" s="6">
        <f>ROUND(AVERAGE(G2:G23),0)</f>
        <v>5</v>
      </c>
      <c r="H24" s="6">
        <f>SUM(H2:H23)</f>
        <v>330</v>
      </c>
      <c r="I24" s="7">
        <f t="shared" si="2"/>
        <v>95.454545454545453</v>
      </c>
      <c r="J24" s="6" t="str">
        <f t="shared" si="3"/>
        <v>Sangat Valid</v>
      </c>
    </row>
    <row r="27" spans="1:10" x14ac:dyDescent="0.25">
      <c r="A27" s="12" t="s">
        <v>68</v>
      </c>
      <c r="B27" s="15"/>
      <c r="C27" s="15"/>
      <c r="D27" s="15"/>
      <c r="E27" s="15"/>
      <c r="F27" s="15"/>
    </row>
    <row r="28" spans="1:10" x14ac:dyDescent="0.25">
      <c r="A28" s="1" t="s">
        <v>10</v>
      </c>
      <c r="B28" s="1" t="s">
        <v>12</v>
      </c>
      <c r="C28" s="16" t="s">
        <v>69</v>
      </c>
      <c r="D28" s="16"/>
      <c r="E28" s="16"/>
      <c r="F28" s="16"/>
    </row>
    <row r="29" spans="1:10" x14ac:dyDescent="0.25">
      <c r="A29" s="3" t="s">
        <v>14</v>
      </c>
      <c r="B29" s="3" t="s">
        <v>16</v>
      </c>
      <c r="C29" s="14" t="s">
        <v>17</v>
      </c>
      <c r="D29" s="14"/>
      <c r="E29" s="14"/>
      <c r="F29" s="14"/>
    </row>
    <row r="30" spans="1:10" x14ac:dyDescent="0.25">
      <c r="A30" s="3" t="s">
        <v>18</v>
      </c>
      <c r="B30" s="3" t="s">
        <v>19</v>
      </c>
      <c r="C30" s="14" t="s">
        <v>20</v>
      </c>
      <c r="D30" s="14"/>
      <c r="E30" s="14"/>
      <c r="F30" s="14"/>
    </row>
    <row r="31" spans="1:10" x14ac:dyDescent="0.25">
      <c r="A31" s="3" t="s">
        <v>21</v>
      </c>
      <c r="B31" s="3" t="s">
        <v>19</v>
      </c>
      <c r="C31" s="14" t="s">
        <v>22</v>
      </c>
      <c r="D31" s="14"/>
      <c r="E31" s="14"/>
      <c r="F31" s="14"/>
    </row>
    <row r="32" spans="1:10" x14ac:dyDescent="0.25">
      <c r="A32" s="8" t="s">
        <v>70</v>
      </c>
      <c r="B32" s="9"/>
      <c r="C32" s="10" t="str">
        <f>IF(B29=B30,B29,IF(B30=B31,B30,IF(B29=B31,B29,"Draw")))</f>
        <v>Layak digunakan tanpa revisi</v>
      </c>
      <c r="D32" s="11"/>
      <c r="E32" s="11"/>
      <c r="F32" s="11"/>
    </row>
  </sheetData>
  <mergeCells count="8">
    <mergeCell ref="A32:B32"/>
    <mergeCell ref="C32:F32"/>
    <mergeCell ref="C28:F28"/>
    <mergeCell ref="A24:B24"/>
    <mergeCell ref="C31:F31"/>
    <mergeCell ref="A27:F27"/>
    <mergeCell ref="C29:F29"/>
    <mergeCell ref="C30:F30"/>
  </mergeCells>
  <conditionalFormatting sqref="J2:J23">
    <cfRule type="cellIs" dxfId="14" priority="1" stopIfTrue="1" operator="equal">
      <formula>"Sangat Valid"</formula>
    </cfRule>
    <cfRule type="cellIs" dxfId="13" priority="2" stopIfTrue="1" operator="equal">
      <formula>"Valid"</formula>
    </cfRule>
    <cfRule type="cellIs" dxfId="12" priority="3" stopIfTrue="1" operator="equal">
      <formula>"Cukup Valid"</formula>
    </cfRule>
    <cfRule type="cellIs" dxfId="11" priority="4" stopIfTrue="1" operator="equal">
      <formula>"Kurang Valid"</formula>
    </cfRule>
    <cfRule type="cellIs" dxfId="10" priority="5" stopIfTrue="1" operator="equal">
      <formula>"Tidak Valid"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workbookViewId="0">
      <pane xSplit="2" ySplit="1" topLeftCell="C2" activePane="bottomRight" state="frozen"/>
      <selection pane="topRight"/>
      <selection pane="bottomLeft"/>
      <selection pane="bottomRight" activeCell="A5" sqref="A5"/>
    </sheetView>
  </sheetViews>
  <sheetFormatPr defaultRowHeight="15" x14ac:dyDescent="0.25"/>
  <cols>
    <col min="1" max="1" width="28" customWidth="1"/>
    <col min="2" max="2" width="45" customWidth="1"/>
    <col min="3" max="10" width="15" customWidth="1"/>
  </cols>
  <sheetData>
    <row r="1" spans="1:10" ht="30" x14ac:dyDescent="0.25">
      <c r="A1" s="1" t="s">
        <v>0</v>
      </c>
      <c r="B1" s="1" t="s">
        <v>38</v>
      </c>
      <c r="C1" s="1" t="s">
        <v>24</v>
      </c>
      <c r="D1" s="1" t="s">
        <v>27</v>
      </c>
      <c r="E1" s="1" t="s">
        <v>29</v>
      </c>
      <c r="F1" s="1" t="s">
        <v>39</v>
      </c>
      <c r="G1" s="1" t="s">
        <v>2</v>
      </c>
      <c r="H1" s="1" t="s">
        <v>40</v>
      </c>
      <c r="I1" s="1" t="s">
        <v>4</v>
      </c>
      <c r="J1" s="1" t="s">
        <v>5</v>
      </c>
    </row>
    <row r="2" spans="1:10" x14ac:dyDescent="0.25">
      <c r="A2" s="2" t="s">
        <v>71</v>
      </c>
      <c r="B2" s="2" t="s">
        <v>72</v>
      </c>
      <c r="C2" s="3">
        <v>5</v>
      </c>
      <c r="D2" s="3">
        <v>5</v>
      </c>
      <c r="E2" s="3">
        <v>5</v>
      </c>
      <c r="F2" s="3">
        <f t="shared" ref="F2:F15" si="0">SUM(C2:E2)</f>
        <v>15</v>
      </c>
      <c r="G2" s="3">
        <f t="shared" ref="G2:G15" si="1">ROUND(AVERAGE(C2:E2), 0)</f>
        <v>5</v>
      </c>
      <c r="H2" s="3">
        <v>15</v>
      </c>
      <c r="I2" s="4">
        <f t="shared" ref="I2:I16" si="2">(F2/H2)*100</f>
        <v>100</v>
      </c>
      <c r="J2" s="3" t="str">
        <f t="shared" ref="J2:J16" si="3">IF(I2&gt;=81,"Sangat Valid",IF(I2&gt;=61,"Valid",IF(I2&gt;=41,"Cukup Valid",IF(I2&gt;=21,"Kurang Valid","Tidak Valid"))))</f>
        <v>Sangat Valid</v>
      </c>
    </row>
    <row r="3" spans="1:10" x14ac:dyDescent="0.25">
      <c r="A3" s="2" t="s">
        <v>71</v>
      </c>
      <c r="B3" s="2" t="s">
        <v>73</v>
      </c>
      <c r="C3" s="3">
        <v>4</v>
      </c>
      <c r="D3" s="3">
        <v>5</v>
      </c>
      <c r="E3" s="3">
        <v>5</v>
      </c>
      <c r="F3" s="3">
        <f t="shared" si="0"/>
        <v>14</v>
      </c>
      <c r="G3" s="3">
        <f t="shared" si="1"/>
        <v>5</v>
      </c>
      <c r="H3" s="3">
        <v>15</v>
      </c>
      <c r="I3" s="4">
        <f t="shared" si="2"/>
        <v>93.333333333333329</v>
      </c>
      <c r="J3" s="3" t="str">
        <f t="shared" si="3"/>
        <v>Sangat Valid</v>
      </c>
    </row>
    <row r="4" spans="1:10" x14ac:dyDescent="0.25">
      <c r="A4" s="2" t="s">
        <v>71</v>
      </c>
      <c r="B4" s="2" t="s">
        <v>74</v>
      </c>
      <c r="C4" s="3">
        <v>4</v>
      </c>
      <c r="D4" s="3">
        <v>5</v>
      </c>
      <c r="E4" s="3">
        <v>5</v>
      </c>
      <c r="F4" s="3">
        <f t="shared" si="0"/>
        <v>14</v>
      </c>
      <c r="G4" s="3">
        <f t="shared" si="1"/>
        <v>5</v>
      </c>
      <c r="H4" s="3">
        <v>15</v>
      </c>
      <c r="I4" s="4">
        <f t="shared" si="2"/>
        <v>93.333333333333329</v>
      </c>
      <c r="J4" s="3" t="str">
        <f t="shared" si="3"/>
        <v>Sangat Valid</v>
      </c>
    </row>
    <row r="5" spans="1:10" x14ac:dyDescent="0.25">
      <c r="A5" s="2" t="s">
        <v>71</v>
      </c>
      <c r="B5" s="2" t="s">
        <v>75</v>
      </c>
      <c r="C5" s="3">
        <v>5</v>
      </c>
      <c r="D5" s="3">
        <v>4</v>
      </c>
      <c r="E5" s="3">
        <v>5</v>
      </c>
      <c r="F5" s="3">
        <f t="shared" si="0"/>
        <v>14</v>
      </c>
      <c r="G5" s="3">
        <f t="shared" si="1"/>
        <v>5</v>
      </c>
      <c r="H5" s="3">
        <v>15</v>
      </c>
      <c r="I5" s="4">
        <f t="shared" si="2"/>
        <v>93.333333333333329</v>
      </c>
      <c r="J5" s="3" t="str">
        <f t="shared" si="3"/>
        <v>Sangat Valid</v>
      </c>
    </row>
    <row r="6" spans="1:10" x14ac:dyDescent="0.25">
      <c r="A6" s="2" t="s">
        <v>71</v>
      </c>
      <c r="B6" s="2" t="s">
        <v>76</v>
      </c>
      <c r="C6" s="3">
        <v>5</v>
      </c>
      <c r="D6" s="3">
        <v>5</v>
      </c>
      <c r="E6" s="3">
        <v>5</v>
      </c>
      <c r="F6" s="3">
        <f t="shared" si="0"/>
        <v>15</v>
      </c>
      <c r="G6" s="3">
        <f t="shared" si="1"/>
        <v>5</v>
      </c>
      <c r="H6" s="3">
        <v>15</v>
      </c>
      <c r="I6" s="4">
        <f t="shared" si="2"/>
        <v>100</v>
      </c>
      <c r="J6" s="3" t="str">
        <f t="shared" si="3"/>
        <v>Sangat Valid</v>
      </c>
    </row>
    <row r="7" spans="1:10" x14ac:dyDescent="0.25">
      <c r="A7" s="2" t="s">
        <v>71</v>
      </c>
      <c r="B7" s="2" t="s">
        <v>77</v>
      </c>
      <c r="C7" s="3">
        <v>4</v>
      </c>
      <c r="D7" s="3">
        <v>4</v>
      </c>
      <c r="E7" s="3">
        <v>5</v>
      </c>
      <c r="F7" s="3">
        <f t="shared" si="0"/>
        <v>13</v>
      </c>
      <c r="G7" s="3">
        <f t="shared" si="1"/>
        <v>4</v>
      </c>
      <c r="H7" s="3">
        <v>15</v>
      </c>
      <c r="I7" s="4">
        <f t="shared" si="2"/>
        <v>86.666666666666671</v>
      </c>
      <c r="J7" s="3" t="str">
        <f t="shared" si="3"/>
        <v>Sangat Valid</v>
      </c>
    </row>
    <row r="8" spans="1:10" x14ac:dyDescent="0.25">
      <c r="A8" s="2" t="s">
        <v>78</v>
      </c>
      <c r="B8" s="2" t="s">
        <v>79</v>
      </c>
      <c r="C8" s="3">
        <v>5</v>
      </c>
      <c r="D8" s="3">
        <v>5</v>
      </c>
      <c r="E8" s="3">
        <v>5</v>
      </c>
      <c r="F8" s="3">
        <f t="shared" si="0"/>
        <v>15</v>
      </c>
      <c r="G8" s="3">
        <f t="shared" si="1"/>
        <v>5</v>
      </c>
      <c r="H8" s="3">
        <v>15</v>
      </c>
      <c r="I8" s="4">
        <f t="shared" si="2"/>
        <v>100</v>
      </c>
      <c r="J8" s="3" t="str">
        <f t="shared" si="3"/>
        <v>Sangat Valid</v>
      </c>
    </row>
    <row r="9" spans="1:10" x14ac:dyDescent="0.25">
      <c r="A9" s="2" t="s">
        <v>78</v>
      </c>
      <c r="B9" s="2" t="s">
        <v>80</v>
      </c>
      <c r="C9" s="3">
        <v>5</v>
      </c>
      <c r="D9" s="3">
        <v>4</v>
      </c>
      <c r="E9" s="3">
        <v>4</v>
      </c>
      <c r="F9" s="3">
        <f t="shared" si="0"/>
        <v>13</v>
      </c>
      <c r="G9" s="3">
        <f t="shared" si="1"/>
        <v>4</v>
      </c>
      <c r="H9" s="3">
        <v>15</v>
      </c>
      <c r="I9" s="4">
        <f t="shared" si="2"/>
        <v>86.666666666666671</v>
      </c>
      <c r="J9" s="3" t="str">
        <f t="shared" si="3"/>
        <v>Sangat Valid</v>
      </c>
    </row>
    <row r="10" spans="1:10" x14ac:dyDescent="0.25">
      <c r="A10" s="2" t="s">
        <v>78</v>
      </c>
      <c r="B10" s="2" t="s">
        <v>81</v>
      </c>
      <c r="C10" s="3">
        <v>5</v>
      </c>
      <c r="D10" s="3">
        <v>5</v>
      </c>
      <c r="E10" s="3">
        <v>5</v>
      </c>
      <c r="F10" s="3">
        <f t="shared" si="0"/>
        <v>15</v>
      </c>
      <c r="G10" s="3">
        <f t="shared" si="1"/>
        <v>5</v>
      </c>
      <c r="H10" s="3">
        <v>15</v>
      </c>
      <c r="I10" s="4">
        <f t="shared" si="2"/>
        <v>100</v>
      </c>
      <c r="J10" s="3" t="str">
        <f t="shared" si="3"/>
        <v>Sangat Valid</v>
      </c>
    </row>
    <row r="11" spans="1:10" x14ac:dyDescent="0.25">
      <c r="A11" s="2" t="s">
        <v>78</v>
      </c>
      <c r="B11" s="2" t="s">
        <v>82</v>
      </c>
      <c r="C11" s="3">
        <v>4</v>
      </c>
      <c r="D11" s="3">
        <v>5</v>
      </c>
      <c r="E11" s="3">
        <v>4</v>
      </c>
      <c r="F11" s="3">
        <f t="shared" si="0"/>
        <v>13</v>
      </c>
      <c r="G11" s="3">
        <f t="shared" si="1"/>
        <v>4</v>
      </c>
      <c r="H11" s="3">
        <v>15</v>
      </c>
      <c r="I11" s="4">
        <f t="shared" si="2"/>
        <v>86.666666666666671</v>
      </c>
      <c r="J11" s="3" t="str">
        <f t="shared" si="3"/>
        <v>Sangat Valid</v>
      </c>
    </row>
    <row r="12" spans="1:10" x14ac:dyDescent="0.25">
      <c r="A12" s="2" t="s">
        <v>78</v>
      </c>
      <c r="B12" s="2" t="s">
        <v>83</v>
      </c>
      <c r="C12" s="3">
        <v>4</v>
      </c>
      <c r="D12" s="3">
        <v>4</v>
      </c>
      <c r="E12" s="3">
        <v>5</v>
      </c>
      <c r="F12" s="3">
        <f t="shared" si="0"/>
        <v>13</v>
      </c>
      <c r="G12" s="3">
        <f t="shared" si="1"/>
        <v>4</v>
      </c>
      <c r="H12" s="3">
        <v>15</v>
      </c>
      <c r="I12" s="4">
        <f t="shared" si="2"/>
        <v>86.666666666666671</v>
      </c>
      <c r="J12" s="3" t="str">
        <f t="shared" si="3"/>
        <v>Sangat Valid</v>
      </c>
    </row>
    <row r="13" spans="1:10" x14ac:dyDescent="0.25">
      <c r="A13" s="2" t="s">
        <v>78</v>
      </c>
      <c r="B13" s="2" t="s">
        <v>84</v>
      </c>
      <c r="C13" s="3">
        <v>5</v>
      </c>
      <c r="D13" s="3">
        <v>5</v>
      </c>
      <c r="E13" s="3">
        <v>4</v>
      </c>
      <c r="F13" s="3">
        <f t="shared" si="0"/>
        <v>14</v>
      </c>
      <c r="G13" s="3">
        <f t="shared" si="1"/>
        <v>5</v>
      </c>
      <c r="H13" s="3">
        <v>15</v>
      </c>
      <c r="I13" s="4">
        <f t="shared" si="2"/>
        <v>93.333333333333329</v>
      </c>
      <c r="J13" s="3" t="str">
        <f t="shared" si="3"/>
        <v>Sangat Valid</v>
      </c>
    </row>
    <row r="14" spans="1:10" x14ac:dyDescent="0.25">
      <c r="A14" s="2" t="s">
        <v>78</v>
      </c>
      <c r="B14" s="2" t="s">
        <v>85</v>
      </c>
      <c r="C14" s="3">
        <v>5</v>
      </c>
      <c r="D14" s="3">
        <v>4</v>
      </c>
      <c r="E14" s="3">
        <v>4</v>
      </c>
      <c r="F14" s="3">
        <f t="shared" si="0"/>
        <v>13</v>
      </c>
      <c r="G14" s="3">
        <f t="shared" si="1"/>
        <v>4</v>
      </c>
      <c r="H14" s="3">
        <v>15</v>
      </c>
      <c r="I14" s="4">
        <f t="shared" si="2"/>
        <v>86.666666666666671</v>
      </c>
      <c r="J14" s="3" t="str">
        <f t="shared" si="3"/>
        <v>Sangat Valid</v>
      </c>
    </row>
    <row r="15" spans="1:10" x14ac:dyDescent="0.25">
      <c r="A15" s="2" t="s">
        <v>78</v>
      </c>
      <c r="B15" s="2" t="s">
        <v>86</v>
      </c>
      <c r="C15" s="3">
        <v>5</v>
      </c>
      <c r="D15" s="3">
        <v>5</v>
      </c>
      <c r="E15" s="3">
        <v>5</v>
      </c>
      <c r="F15" s="3">
        <f t="shared" si="0"/>
        <v>15</v>
      </c>
      <c r="G15" s="3">
        <f t="shared" si="1"/>
        <v>5</v>
      </c>
      <c r="H15" s="3">
        <v>15</v>
      </c>
      <c r="I15" s="4">
        <f t="shared" si="2"/>
        <v>100</v>
      </c>
      <c r="J15" s="3" t="str">
        <f t="shared" si="3"/>
        <v>Sangat Valid</v>
      </c>
    </row>
    <row r="16" spans="1:10" x14ac:dyDescent="0.25">
      <c r="A16" s="12" t="s">
        <v>67</v>
      </c>
      <c r="B16" s="13"/>
      <c r="C16" s="6">
        <f>SUM(C2:C15)</f>
        <v>65</v>
      </c>
      <c r="D16" s="6">
        <f>SUM(D2:D15)</f>
        <v>65</v>
      </c>
      <c r="E16" s="6">
        <f>SUM(E2:E15)</f>
        <v>66</v>
      </c>
      <c r="F16" s="6">
        <f>SUM(F2:F15)</f>
        <v>196</v>
      </c>
      <c r="G16" s="6">
        <f>ROUND(AVERAGE(G2:G15),0)</f>
        <v>5</v>
      </c>
      <c r="H16" s="6">
        <f>SUM(H2:H15)</f>
        <v>210</v>
      </c>
      <c r="I16" s="7">
        <f t="shared" si="2"/>
        <v>93.333333333333329</v>
      </c>
      <c r="J16" s="6" t="str">
        <f t="shared" si="3"/>
        <v>Sangat Valid</v>
      </c>
    </row>
    <row r="19" spans="1:6" x14ac:dyDescent="0.25">
      <c r="A19" s="12" t="s">
        <v>68</v>
      </c>
      <c r="B19" s="15"/>
      <c r="C19" s="15"/>
      <c r="D19" s="15"/>
      <c r="E19" s="15"/>
      <c r="F19" s="15"/>
    </row>
    <row r="20" spans="1:6" x14ac:dyDescent="0.25">
      <c r="A20" s="1" t="s">
        <v>10</v>
      </c>
      <c r="B20" s="1" t="s">
        <v>12</v>
      </c>
      <c r="C20" s="16" t="s">
        <v>69</v>
      </c>
      <c r="D20" s="16"/>
      <c r="E20" s="16"/>
      <c r="F20" s="16"/>
    </row>
    <row r="21" spans="1:6" x14ac:dyDescent="0.25">
      <c r="A21" s="3" t="s">
        <v>24</v>
      </c>
      <c r="B21" s="3" t="s">
        <v>19</v>
      </c>
      <c r="C21" s="14" t="s">
        <v>26</v>
      </c>
      <c r="D21" s="14"/>
      <c r="E21" s="14"/>
      <c r="F21" s="14"/>
    </row>
    <row r="22" spans="1:6" x14ac:dyDescent="0.25">
      <c r="A22" s="3" t="s">
        <v>27</v>
      </c>
      <c r="B22" s="3" t="s">
        <v>19</v>
      </c>
      <c r="C22" s="14" t="s">
        <v>28</v>
      </c>
      <c r="D22" s="14"/>
      <c r="E22" s="14"/>
      <c r="F22" s="14"/>
    </row>
    <row r="23" spans="1:6" x14ac:dyDescent="0.25">
      <c r="A23" s="3" t="s">
        <v>29</v>
      </c>
      <c r="B23" s="3" t="s">
        <v>16</v>
      </c>
      <c r="C23" s="14" t="s">
        <v>30</v>
      </c>
      <c r="D23" s="14"/>
      <c r="E23" s="14"/>
      <c r="F23" s="14"/>
    </row>
    <row r="24" spans="1:6" x14ac:dyDescent="0.25">
      <c r="A24" s="8" t="s">
        <v>70</v>
      </c>
      <c r="B24" s="9"/>
      <c r="C24" s="10" t="str">
        <f>IF(B21=B22,B21,IF(B22=B23,B22,IF(B21=B23,B21,"Draw")))</f>
        <v>Layak digunakan tanpa revisi</v>
      </c>
      <c r="D24" s="11"/>
      <c r="E24" s="11"/>
      <c r="F24" s="11"/>
    </row>
  </sheetData>
  <mergeCells count="8">
    <mergeCell ref="C22:F22"/>
    <mergeCell ref="A24:B24"/>
    <mergeCell ref="A16:B16"/>
    <mergeCell ref="C23:F23"/>
    <mergeCell ref="A19:F19"/>
    <mergeCell ref="C20:F20"/>
    <mergeCell ref="C21:F21"/>
    <mergeCell ref="C24:F24"/>
  </mergeCells>
  <conditionalFormatting sqref="J2:J15">
    <cfRule type="cellIs" dxfId="9" priority="1" stopIfTrue="1" operator="equal">
      <formula>"Sangat Valid"</formula>
    </cfRule>
    <cfRule type="cellIs" dxfId="8" priority="2" stopIfTrue="1" operator="equal">
      <formula>"Valid"</formula>
    </cfRule>
    <cfRule type="cellIs" dxfId="7" priority="3" stopIfTrue="1" operator="equal">
      <formula>"Cukup Valid"</formula>
    </cfRule>
    <cfRule type="cellIs" dxfId="6" priority="4" stopIfTrue="1" operator="equal">
      <formula>"Kurang Valid"</formula>
    </cfRule>
    <cfRule type="cellIs" dxfId="5" priority="5" stopIfTrue="1" operator="equal">
      <formula>"Tidak Valid"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2"/>
  <sheetViews>
    <sheetView workbookViewId="0">
      <pane xSplit="2" ySplit="1" topLeftCell="C14" activePane="bottomRight" state="frozen"/>
      <selection pane="topRight"/>
      <selection pane="bottomLeft"/>
      <selection pane="bottomRight" activeCell="D19" sqref="D19"/>
    </sheetView>
  </sheetViews>
  <sheetFormatPr defaultRowHeight="15" x14ac:dyDescent="0.25"/>
  <cols>
    <col min="1" max="1" width="28" customWidth="1"/>
    <col min="2" max="2" width="45" customWidth="1"/>
    <col min="3" max="10" width="15" customWidth="1"/>
  </cols>
  <sheetData>
    <row r="1" spans="1:10" ht="30" x14ac:dyDescent="0.25">
      <c r="A1" s="1" t="s">
        <v>0</v>
      </c>
      <c r="B1" s="1" t="s">
        <v>38</v>
      </c>
      <c r="C1" s="1" t="s">
        <v>31</v>
      </c>
      <c r="D1" s="1" t="s">
        <v>34</v>
      </c>
      <c r="E1" s="1" t="s">
        <v>36</v>
      </c>
      <c r="F1" s="1" t="s">
        <v>39</v>
      </c>
      <c r="G1" s="1" t="s">
        <v>2</v>
      </c>
      <c r="H1" s="1" t="s">
        <v>40</v>
      </c>
      <c r="I1" s="1" t="s">
        <v>4</v>
      </c>
      <c r="J1" s="1" t="s">
        <v>5</v>
      </c>
    </row>
    <row r="2" spans="1:10" x14ac:dyDescent="0.25">
      <c r="A2" s="2" t="s">
        <v>87</v>
      </c>
      <c r="B2" s="2" t="s">
        <v>88</v>
      </c>
      <c r="C2" s="3">
        <v>5</v>
      </c>
      <c r="D2" s="3">
        <v>4</v>
      </c>
      <c r="E2" s="3">
        <v>4</v>
      </c>
      <c r="F2" s="3">
        <f t="shared" ref="F2:F23" si="0">SUM(C2:E2)</f>
        <v>13</v>
      </c>
      <c r="G2" s="3">
        <f t="shared" ref="G2:G23" si="1">ROUND(AVERAGE(C2:E2), 0)</f>
        <v>4</v>
      </c>
      <c r="H2" s="3">
        <v>15</v>
      </c>
      <c r="I2" s="4">
        <f t="shared" ref="I2:I24" si="2">(F2/H2)*100</f>
        <v>86.666666666666671</v>
      </c>
      <c r="J2" s="3" t="str">
        <f t="shared" ref="J2:J24" si="3">IF(I2&gt;=81,"Sangat Valid",IF(I2&gt;=61,"Valid",IF(I2&gt;=41,"Cukup Valid",IF(I2&gt;=21,"Kurang Valid","Tidak Valid"))))</f>
        <v>Sangat Valid</v>
      </c>
    </row>
    <row r="3" spans="1:10" x14ac:dyDescent="0.25">
      <c r="A3" s="2" t="s">
        <v>87</v>
      </c>
      <c r="B3" s="2" t="s">
        <v>89</v>
      </c>
      <c r="C3" s="3">
        <v>5</v>
      </c>
      <c r="D3" s="3">
        <v>5</v>
      </c>
      <c r="E3" s="3">
        <v>4</v>
      </c>
      <c r="F3" s="3">
        <f t="shared" si="0"/>
        <v>14</v>
      </c>
      <c r="G3" s="3">
        <f t="shared" si="1"/>
        <v>5</v>
      </c>
      <c r="H3" s="3">
        <v>15</v>
      </c>
      <c r="I3" s="4">
        <f t="shared" si="2"/>
        <v>93.333333333333329</v>
      </c>
      <c r="J3" s="3" t="str">
        <f t="shared" si="3"/>
        <v>Sangat Valid</v>
      </c>
    </row>
    <row r="4" spans="1:10" x14ac:dyDescent="0.25">
      <c r="A4" s="2" t="s">
        <v>87</v>
      </c>
      <c r="B4" s="2" t="s">
        <v>90</v>
      </c>
      <c r="C4" s="3">
        <v>5</v>
      </c>
      <c r="D4" s="3">
        <v>5</v>
      </c>
      <c r="E4" s="3">
        <v>4</v>
      </c>
      <c r="F4" s="3">
        <f t="shared" si="0"/>
        <v>14</v>
      </c>
      <c r="G4" s="3">
        <f t="shared" si="1"/>
        <v>5</v>
      </c>
      <c r="H4" s="3">
        <v>15</v>
      </c>
      <c r="I4" s="4">
        <f t="shared" si="2"/>
        <v>93.333333333333329</v>
      </c>
      <c r="J4" s="3" t="str">
        <f t="shared" si="3"/>
        <v>Sangat Valid</v>
      </c>
    </row>
    <row r="5" spans="1:10" x14ac:dyDescent="0.25">
      <c r="A5" s="2" t="s">
        <v>87</v>
      </c>
      <c r="B5" s="2" t="s">
        <v>91</v>
      </c>
      <c r="C5" s="3">
        <v>5</v>
      </c>
      <c r="D5" s="3">
        <v>4</v>
      </c>
      <c r="E5" s="3">
        <v>4</v>
      </c>
      <c r="F5" s="3">
        <f t="shared" si="0"/>
        <v>13</v>
      </c>
      <c r="G5" s="3">
        <f t="shared" si="1"/>
        <v>4</v>
      </c>
      <c r="H5" s="3">
        <v>15</v>
      </c>
      <c r="I5" s="4">
        <f t="shared" si="2"/>
        <v>86.666666666666671</v>
      </c>
      <c r="J5" s="3" t="str">
        <f t="shared" si="3"/>
        <v>Sangat Valid</v>
      </c>
    </row>
    <row r="6" spans="1:10" x14ac:dyDescent="0.25">
      <c r="A6" s="2" t="s">
        <v>87</v>
      </c>
      <c r="B6" s="2" t="s">
        <v>92</v>
      </c>
      <c r="C6" s="3">
        <v>4</v>
      </c>
      <c r="D6" s="3">
        <v>4</v>
      </c>
      <c r="E6" s="3">
        <v>4</v>
      </c>
      <c r="F6" s="3">
        <f t="shared" si="0"/>
        <v>12</v>
      </c>
      <c r="G6" s="3">
        <f t="shared" si="1"/>
        <v>4</v>
      </c>
      <c r="H6" s="3">
        <v>15</v>
      </c>
      <c r="I6" s="4">
        <f t="shared" si="2"/>
        <v>80</v>
      </c>
      <c r="J6" s="3" t="str">
        <f t="shared" si="3"/>
        <v>Valid</v>
      </c>
    </row>
    <row r="7" spans="1:10" x14ac:dyDescent="0.25">
      <c r="A7" s="2" t="s">
        <v>87</v>
      </c>
      <c r="B7" s="2" t="s">
        <v>93</v>
      </c>
      <c r="C7" s="3">
        <v>5</v>
      </c>
      <c r="D7" s="3">
        <v>5</v>
      </c>
      <c r="E7" s="3">
        <v>4</v>
      </c>
      <c r="F7" s="3">
        <f t="shared" si="0"/>
        <v>14</v>
      </c>
      <c r="G7" s="3">
        <f t="shared" si="1"/>
        <v>5</v>
      </c>
      <c r="H7" s="3">
        <v>15</v>
      </c>
      <c r="I7" s="4">
        <f t="shared" si="2"/>
        <v>93.333333333333329</v>
      </c>
      <c r="J7" s="3" t="str">
        <f t="shared" si="3"/>
        <v>Sangat Valid</v>
      </c>
    </row>
    <row r="8" spans="1:10" ht="30" x14ac:dyDescent="0.25">
      <c r="A8" s="2" t="s">
        <v>94</v>
      </c>
      <c r="B8" s="2" t="s">
        <v>95</v>
      </c>
      <c r="C8" s="3">
        <v>5</v>
      </c>
      <c r="D8" s="3">
        <v>4</v>
      </c>
      <c r="E8" s="3">
        <v>4</v>
      </c>
      <c r="F8" s="3">
        <f t="shared" si="0"/>
        <v>13</v>
      </c>
      <c r="G8" s="3">
        <f t="shared" si="1"/>
        <v>4</v>
      </c>
      <c r="H8" s="3">
        <v>15</v>
      </c>
      <c r="I8" s="4">
        <f t="shared" si="2"/>
        <v>86.666666666666671</v>
      </c>
      <c r="J8" s="3" t="str">
        <f t="shared" si="3"/>
        <v>Sangat Valid</v>
      </c>
    </row>
    <row r="9" spans="1:10" ht="30" x14ac:dyDescent="0.25">
      <c r="A9" s="2" t="s">
        <v>94</v>
      </c>
      <c r="B9" s="2" t="s">
        <v>96</v>
      </c>
      <c r="C9" s="3">
        <v>4</v>
      </c>
      <c r="D9" s="3">
        <v>5</v>
      </c>
      <c r="E9" s="3">
        <v>4</v>
      </c>
      <c r="F9" s="3">
        <f t="shared" si="0"/>
        <v>13</v>
      </c>
      <c r="G9" s="3">
        <f t="shared" si="1"/>
        <v>4</v>
      </c>
      <c r="H9" s="3">
        <v>15</v>
      </c>
      <c r="I9" s="4">
        <f t="shared" si="2"/>
        <v>86.666666666666671</v>
      </c>
      <c r="J9" s="3" t="str">
        <f t="shared" si="3"/>
        <v>Sangat Valid</v>
      </c>
    </row>
    <row r="10" spans="1:10" ht="30" x14ac:dyDescent="0.25">
      <c r="A10" s="2" t="s">
        <v>94</v>
      </c>
      <c r="B10" s="2" t="s">
        <v>97</v>
      </c>
      <c r="C10" s="3">
        <v>5</v>
      </c>
      <c r="D10" s="3">
        <v>4</v>
      </c>
      <c r="E10" s="3">
        <v>5</v>
      </c>
      <c r="F10" s="3">
        <f t="shared" si="0"/>
        <v>14</v>
      </c>
      <c r="G10" s="3">
        <f t="shared" si="1"/>
        <v>5</v>
      </c>
      <c r="H10" s="3">
        <v>15</v>
      </c>
      <c r="I10" s="4">
        <f t="shared" si="2"/>
        <v>93.333333333333329</v>
      </c>
      <c r="J10" s="3" t="str">
        <f t="shared" si="3"/>
        <v>Sangat Valid</v>
      </c>
    </row>
    <row r="11" spans="1:10" ht="30" x14ac:dyDescent="0.25">
      <c r="A11" s="2" t="s">
        <v>94</v>
      </c>
      <c r="B11" s="2" t="s">
        <v>98</v>
      </c>
      <c r="C11" s="3">
        <v>4</v>
      </c>
      <c r="D11" s="3">
        <v>4</v>
      </c>
      <c r="E11" s="3">
        <v>5</v>
      </c>
      <c r="F11" s="3">
        <f t="shared" si="0"/>
        <v>13</v>
      </c>
      <c r="G11" s="3">
        <f t="shared" si="1"/>
        <v>4</v>
      </c>
      <c r="H11" s="3">
        <v>15</v>
      </c>
      <c r="I11" s="4">
        <f t="shared" si="2"/>
        <v>86.666666666666671</v>
      </c>
      <c r="J11" s="3" t="str">
        <f t="shared" si="3"/>
        <v>Sangat Valid</v>
      </c>
    </row>
    <row r="12" spans="1:10" ht="30" x14ac:dyDescent="0.25">
      <c r="A12" s="2" t="s">
        <v>94</v>
      </c>
      <c r="B12" s="2" t="s">
        <v>99</v>
      </c>
      <c r="C12" s="3">
        <v>4</v>
      </c>
      <c r="D12" s="3">
        <v>5</v>
      </c>
      <c r="E12" s="3">
        <v>4</v>
      </c>
      <c r="F12" s="3">
        <f t="shared" si="0"/>
        <v>13</v>
      </c>
      <c r="G12" s="3">
        <f t="shared" si="1"/>
        <v>4</v>
      </c>
      <c r="H12" s="3">
        <v>15</v>
      </c>
      <c r="I12" s="4">
        <f t="shared" si="2"/>
        <v>86.666666666666671</v>
      </c>
      <c r="J12" s="3" t="str">
        <f t="shared" si="3"/>
        <v>Sangat Valid</v>
      </c>
    </row>
    <row r="13" spans="1:10" ht="30" x14ac:dyDescent="0.25">
      <c r="A13" s="2" t="s">
        <v>94</v>
      </c>
      <c r="B13" s="2" t="s">
        <v>100</v>
      </c>
      <c r="C13" s="3">
        <v>5</v>
      </c>
      <c r="D13" s="3">
        <v>4</v>
      </c>
      <c r="E13" s="3">
        <v>5</v>
      </c>
      <c r="F13" s="3">
        <f t="shared" si="0"/>
        <v>14</v>
      </c>
      <c r="G13" s="3">
        <f t="shared" si="1"/>
        <v>5</v>
      </c>
      <c r="H13" s="3">
        <v>15</v>
      </c>
      <c r="I13" s="4">
        <f t="shared" si="2"/>
        <v>93.333333333333329</v>
      </c>
      <c r="J13" s="3" t="str">
        <f t="shared" si="3"/>
        <v>Sangat Valid</v>
      </c>
    </row>
    <row r="14" spans="1:10" ht="30" x14ac:dyDescent="0.25">
      <c r="A14" s="2" t="s">
        <v>101</v>
      </c>
      <c r="B14" s="2" t="s">
        <v>102</v>
      </c>
      <c r="C14" s="3">
        <v>5</v>
      </c>
      <c r="D14" s="3">
        <v>3</v>
      </c>
      <c r="E14" s="3">
        <v>4</v>
      </c>
      <c r="F14" s="3">
        <f t="shared" si="0"/>
        <v>12</v>
      </c>
      <c r="G14" s="3">
        <f t="shared" si="1"/>
        <v>4</v>
      </c>
      <c r="H14" s="3">
        <v>15</v>
      </c>
      <c r="I14" s="4">
        <f t="shared" si="2"/>
        <v>80</v>
      </c>
      <c r="J14" s="3" t="str">
        <f t="shared" si="3"/>
        <v>Valid</v>
      </c>
    </row>
    <row r="15" spans="1:10" ht="30" x14ac:dyDescent="0.25">
      <c r="A15" s="2" t="s">
        <v>101</v>
      </c>
      <c r="B15" s="2" t="s">
        <v>103</v>
      </c>
      <c r="C15" s="3">
        <v>5</v>
      </c>
      <c r="D15" s="3">
        <v>3</v>
      </c>
      <c r="E15" s="3">
        <v>4</v>
      </c>
      <c r="F15" s="3">
        <f t="shared" si="0"/>
        <v>12</v>
      </c>
      <c r="G15" s="3">
        <f t="shared" si="1"/>
        <v>4</v>
      </c>
      <c r="H15" s="3">
        <v>15</v>
      </c>
      <c r="I15" s="4">
        <f t="shared" si="2"/>
        <v>80</v>
      </c>
      <c r="J15" s="3" t="str">
        <f t="shared" si="3"/>
        <v>Valid</v>
      </c>
    </row>
    <row r="16" spans="1:10" ht="30" x14ac:dyDescent="0.25">
      <c r="A16" s="2" t="s">
        <v>101</v>
      </c>
      <c r="B16" s="2" t="s">
        <v>104</v>
      </c>
      <c r="C16" s="3">
        <v>5</v>
      </c>
      <c r="D16" s="3">
        <v>4</v>
      </c>
      <c r="E16" s="3">
        <v>4</v>
      </c>
      <c r="F16" s="3">
        <f t="shared" si="0"/>
        <v>13</v>
      </c>
      <c r="G16" s="3">
        <f t="shared" si="1"/>
        <v>4</v>
      </c>
      <c r="H16" s="3">
        <v>15</v>
      </c>
      <c r="I16" s="4">
        <f t="shared" si="2"/>
        <v>86.666666666666671</v>
      </c>
      <c r="J16" s="3" t="str">
        <f t="shared" si="3"/>
        <v>Sangat Valid</v>
      </c>
    </row>
    <row r="17" spans="1:10" ht="30" x14ac:dyDescent="0.25">
      <c r="A17" s="2" t="s">
        <v>101</v>
      </c>
      <c r="B17" s="2" t="s">
        <v>105</v>
      </c>
      <c r="C17" s="3">
        <v>5</v>
      </c>
      <c r="D17" s="3">
        <v>4</v>
      </c>
      <c r="E17" s="3">
        <v>4</v>
      </c>
      <c r="F17" s="3">
        <f t="shared" si="0"/>
        <v>13</v>
      </c>
      <c r="G17" s="3">
        <f t="shared" si="1"/>
        <v>4</v>
      </c>
      <c r="H17" s="3">
        <v>15</v>
      </c>
      <c r="I17" s="4">
        <f t="shared" si="2"/>
        <v>86.666666666666671</v>
      </c>
      <c r="J17" s="3" t="str">
        <f t="shared" si="3"/>
        <v>Sangat Valid</v>
      </c>
    </row>
    <row r="18" spans="1:10" ht="30" x14ac:dyDescent="0.25">
      <c r="A18" s="2" t="s">
        <v>101</v>
      </c>
      <c r="B18" s="2" t="s">
        <v>106</v>
      </c>
      <c r="C18" s="3">
        <v>5</v>
      </c>
      <c r="D18" s="3">
        <v>4</v>
      </c>
      <c r="E18" s="3">
        <v>4</v>
      </c>
      <c r="F18" s="3">
        <f t="shared" si="0"/>
        <v>13</v>
      </c>
      <c r="G18" s="3">
        <f t="shared" si="1"/>
        <v>4</v>
      </c>
      <c r="H18" s="3">
        <v>15</v>
      </c>
      <c r="I18" s="4">
        <f t="shared" si="2"/>
        <v>86.666666666666671</v>
      </c>
      <c r="J18" s="3" t="str">
        <f t="shared" si="3"/>
        <v>Sangat Valid</v>
      </c>
    </row>
    <row r="19" spans="1:10" x14ac:dyDescent="0.25">
      <c r="A19" s="2" t="s">
        <v>107</v>
      </c>
      <c r="B19" s="2" t="s">
        <v>108</v>
      </c>
      <c r="C19" s="3">
        <v>5</v>
      </c>
      <c r="D19" s="3">
        <v>4</v>
      </c>
      <c r="E19" s="3">
        <v>4</v>
      </c>
      <c r="F19" s="3">
        <f t="shared" si="0"/>
        <v>13</v>
      </c>
      <c r="G19" s="3">
        <f t="shared" si="1"/>
        <v>4</v>
      </c>
      <c r="H19" s="3">
        <v>15</v>
      </c>
      <c r="I19" s="4">
        <f t="shared" si="2"/>
        <v>86.666666666666671</v>
      </c>
      <c r="J19" s="3" t="str">
        <f t="shared" si="3"/>
        <v>Sangat Valid</v>
      </c>
    </row>
    <row r="20" spans="1:10" x14ac:dyDescent="0.25">
      <c r="A20" s="2" t="s">
        <v>107</v>
      </c>
      <c r="B20" s="2" t="s">
        <v>109</v>
      </c>
      <c r="C20" s="3">
        <v>5</v>
      </c>
      <c r="D20" s="3">
        <v>5</v>
      </c>
      <c r="E20" s="3">
        <v>4</v>
      </c>
      <c r="F20" s="3">
        <f t="shared" si="0"/>
        <v>14</v>
      </c>
      <c r="G20" s="3">
        <f t="shared" si="1"/>
        <v>5</v>
      </c>
      <c r="H20" s="3">
        <v>15</v>
      </c>
      <c r="I20" s="4">
        <f t="shared" si="2"/>
        <v>93.333333333333329</v>
      </c>
      <c r="J20" s="3" t="str">
        <f t="shared" si="3"/>
        <v>Sangat Valid</v>
      </c>
    </row>
    <row r="21" spans="1:10" x14ac:dyDescent="0.25">
      <c r="A21" s="2" t="s">
        <v>107</v>
      </c>
      <c r="B21" s="2" t="s">
        <v>110</v>
      </c>
      <c r="C21" s="3">
        <v>4</v>
      </c>
      <c r="D21" s="3">
        <v>4</v>
      </c>
      <c r="E21" s="3">
        <v>4</v>
      </c>
      <c r="F21" s="3">
        <f t="shared" si="0"/>
        <v>12</v>
      </c>
      <c r="G21" s="3">
        <f t="shared" si="1"/>
        <v>4</v>
      </c>
      <c r="H21" s="3">
        <v>15</v>
      </c>
      <c r="I21" s="4">
        <f t="shared" si="2"/>
        <v>80</v>
      </c>
      <c r="J21" s="3" t="str">
        <f t="shared" si="3"/>
        <v>Valid</v>
      </c>
    </row>
    <row r="22" spans="1:10" x14ac:dyDescent="0.25">
      <c r="A22" s="2" t="s">
        <v>107</v>
      </c>
      <c r="B22" s="2" t="s">
        <v>111</v>
      </c>
      <c r="C22" s="3">
        <v>5</v>
      </c>
      <c r="D22" s="3">
        <v>5</v>
      </c>
      <c r="E22" s="3">
        <v>4</v>
      </c>
      <c r="F22" s="3">
        <f t="shared" si="0"/>
        <v>14</v>
      </c>
      <c r="G22" s="3">
        <f t="shared" si="1"/>
        <v>5</v>
      </c>
      <c r="H22" s="3">
        <v>15</v>
      </c>
      <c r="I22" s="4">
        <f t="shared" si="2"/>
        <v>93.333333333333329</v>
      </c>
      <c r="J22" s="3" t="str">
        <f t="shared" si="3"/>
        <v>Sangat Valid</v>
      </c>
    </row>
    <row r="23" spans="1:10" x14ac:dyDescent="0.25">
      <c r="A23" s="2" t="s">
        <v>107</v>
      </c>
      <c r="B23" s="2" t="s">
        <v>112</v>
      </c>
      <c r="C23" s="3">
        <v>5</v>
      </c>
      <c r="D23" s="3">
        <v>4</v>
      </c>
      <c r="E23" s="3">
        <v>4</v>
      </c>
      <c r="F23" s="3">
        <f t="shared" si="0"/>
        <v>13</v>
      </c>
      <c r="G23" s="3">
        <f t="shared" si="1"/>
        <v>4</v>
      </c>
      <c r="H23" s="3">
        <v>15</v>
      </c>
      <c r="I23" s="4">
        <f t="shared" si="2"/>
        <v>86.666666666666671</v>
      </c>
      <c r="J23" s="3" t="str">
        <f t="shared" si="3"/>
        <v>Sangat Valid</v>
      </c>
    </row>
    <row r="24" spans="1:10" x14ac:dyDescent="0.25">
      <c r="A24" s="12" t="s">
        <v>67</v>
      </c>
      <c r="B24" s="13"/>
      <c r="C24" s="6">
        <f>SUM(C2:C23)</f>
        <v>105</v>
      </c>
      <c r="D24" s="6">
        <f>SUM(D2:D23)</f>
        <v>93</v>
      </c>
      <c r="E24" s="6">
        <f>SUM(E2:E23)</f>
        <v>91</v>
      </c>
      <c r="F24" s="6">
        <f>SUM(F2:F23)</f>
        <v>289</v>
      </c>
      <c r="G24" s="6">
        <f>ROUND(AVERAGE(G2:G23),0)</f>
        <v>4</v>
      </c>
      <c r="H24" s="6">
        <f>SUM(H2:H23)</f>
        <v>330</v>
      </c>
      <c r="I24" s="7">
        <f t="shared" si="2"/>
        <v>87.575757575757578</v>
      </c>
      <c r="J24" s="6" t="str">
        <f t="shared" si="3"/>
        <v>Sangat Valid</v>
      </c>
    </row>
    <row r="27" spans="1:10" x14ac:dyDescent="0.25">
      <c r="A27" s="12" t="s">
        <v>68</v>
      </c>
      <c r="B27" s="15"/>
      <c r="C27" s="15"/>
      <c r="D27" s="15"/>
      <c r="E27" s="15"/>
      <c r="F27" s="15"/>
    </row>
    <row r="28" spans="1:10" x14ac:dyDescent="0.25">
      <c r="A28" s="1" t="s">
        <v>10</v>
      </c>
      <c r="B28" s="1" t="s">
        <v>12</v>
      </c>
      <c r="C28" s="16" t="s">
        <v>69</v>
      </c>
      <c r="D28" s="16"/>
      <c r="E28" s="16"/>
      <c r="F28" s="16"/>
    </row>
    <row r="29" spans="1:10" x14ac:dyDescent="0.25">
      <c r="A29" s="3" t="s">
        <v>31</v>
      </c>
      <c r="B29" s="3" t="s">
        <v>19</v>
      </c>
      <c r="C29" s="14" t="s">
        <v>33</v>
      </c>
      <c r="D29" s="14"/>
      <c r="E29" s="14"/>
      <c r="F29" s="14"/>
    </row>
    <row r="30" spans="1:10" x14ac:dyDescent="0.25">
      <c r="A30" s="3" t="s">
        <v>34</v>
      </c>
      <c r="B30" s="3" t="s">
        <v>16</v>
      </c>
      <c r="C30" s="14" t="s">
        <v>35</v>
      </c>
      <c r="D30" s="14"/>
      <c r="E30" s="14"/>
      <c r="F30" s="14"/>
    </row>
    <row r="31" spans="1:10" x14ac:dyDescent="0.25">
      <c r="A31" s="3" t="s">
        <v>36</v>
      </c>
      <c r="B31" s="3" t="s">
        <v>19</v>
      </c>
      <c r="C31" s="14" t="s">
        <v>37</v>
      </c>
      <c r="D31" s="14"/>
      <c r="E31" s="14"/>
      <c r="F31" s="14"/>
    </row>
    <row r="32" spans="1:10" x14ac:dyDescent="0.25">
      <c r="A32" s="8" t="s">
        <v>70</v>
      </c>
      <c r="B32" s="9"/>
      <c r="C32" s="10" t="str">
        <f>IF(B29=B30,B29,IF(B30=B31,B30,IF(B29=B31,B29,"Draw")))</f>
        <v>Layak digunakan tanpa revisi</v>
      </c>
      <c r="D32" s="11"/>
      <c r="E32" s="11"/>
      <c r="F32" s="11"/>
    </row>
  </sheetData>
  <mergeCells count="8">
    <mergeCell ref="A32:B32"/>
    <mergeCell ref="C32:F32"/>
    <mergeCell ref="C28:F28"/>
    <mergeCell ref="A24:B24"/>
    <mergeCell ref="C31:F31"/>
    <mergeCell ref="A27:F27"/>
    <mergeCell ref="C29:F29"/>
    <mergeCell ref="C30:F30"/>
  </mergeCells>
  <conditionalFormatting sqref="J2:J23">
    <cfRule type="cellIs" dxfId="4" priority="1" stopIfTrue="1" operator="equal">
      <formula>"Sangat Valid"</formula>
    </cfRule>
    <cfRule type="cellIs" dxfId="3" priority="2" stopIfTrue="1" operator="equal">
      <formula>"Valid"</formula>
    </cfRule>
    <cfRule type="cellIs" dxfId="2" priority="3" stopIfTrue="1" operator="equal">
      <formula>"Cukup Valid"</formula>
    </cfRule>
    <cfRule type="cellIs" dxfId="1" priority="4" stopIfTrue="1" operator="equal">
      <formula>"Kurang Valid"</formula>
    </cfRule>
    <cfRule type="cellIs" dxfId="0" priority="5" stopIfTrue="1" operator="equal">
      <formula>"Tidak Valid"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Rekap Keseluruhan</vt:lpstr>
      <vt:lpstr>Validitas Materi</vt:lpstr>
      <vt:lpstr>Validitas Media</vt:lpstr>
      <vt:lpstr>Validitas Sistem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andrichadhea</cp:lastModifiedBy>
  <dcterms:created xsi:type="dcterms:W3CDTF">2026-05-21T14:21:31Z</dcterms:created>
  <dcterms:modified xsi:type="dcterms:W3CDTF">2026-05-21T14:28:41Z</dcterms:modified>
</cp:coreProperties>
</file>